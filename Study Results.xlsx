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Article Mydriase/"/>
    </mc:Choice>
  </mc:AlternateContent>
  <xr:revisionPtr revIDLastSave="12237" documentId="11_F25DC773A252ABDACC1048C7595C51525ADE58F3" xr6:coauthVersionLast="47" xr6:coauthVersionMax="47" xr10:uidLastSave="{70A8CD86-A966-4FC5-9E99-7DE93800BE13}"/>
  <bookViews>
    <workbookView xWindow="-108" yWindow="-108" windowWidth="23256" windowHeight="13896" activeTab="2" xr2:uid="{00000000-000D-0000-FFFF-FFFF00000000}"/>
  </bookViews>
  <sheets>
    <sheet name="Characteristics" sheetId="16" r:id="rId1"/>
    <sheet name="Stroop perf." sheetId="13" r:id="rId2"/>
    <sheet name="Perceived stress" sheetId="4" r:id="rId3"/>
    <sheet name="Pressure" sheetId="5" r:id="rId4"/>
    <sheet name="HRV" sheetId="2" r:id="rId5"/>
    <sheet name="Respiration" sheetId="15" r:id="rId6"/>
    <sheet name="Mydriasis" sheetId="14" r:id="rId7"/>
    <sheet name="Saliva" sheetId="1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3" l="1"/>
  <c r="T2" i="13"/>
  <c r="M17" i="17"/>
  <c r="AH21" i="17"/>
  <c r="AG21" i="17"/>
  <c r="AF21" i="17"/>
  <c r="AE21" i="17"/>
  <c r="AH20" i="17"/>
  <c r="AG20" i="17"/>
  <c r="AF20" i="17"/>
  <c r="AE20" i="17"/>
  <c r="AB18" i="17"/>
  <c r="AA18" i="17"/>
  <c r="Z18" i="17"/>
  <c r="Y18" i="17"/>
  <c r="AB17" i="17"/>
  <c r="AA17" i="17"/>
  <c r="Z17" i="17"/>
  <c r="Y17" i="17"/>
  <c r="V21" i="17"/>
  <c r="U21" i="17"/>
  <c r="T21" i="17"/>
  <c r="S21" i="17"/>
  <c r="V20" i="17"/>
  <c r="U20" i="17"/>
  <c r="T20" i="17"/>
  <c r="S20" i="17"/>
  <c r="P18" i="17"/>
  <c r="O18" i="17"/>
  <c r="N18" i="17"/>
  <c r="M18" i="17"/>
  <c r="P17" i="17"/>
  <c r="O17" i="17"/>
  <c r="N17" i="17"/>
  <c r="T22" i="17" l="1"/>
  <c r="U22" i="17"/>
  <c r="V22" i="17"/>
  <c r="CC81" i="2"/>
  <c r="F33" i="16"/>
  <c r="D33" i="16"/>
  <c r="C33" i="16"/>
  <c r="B33" i="16"/>
  <c r="F32" i="16"/>
  <c r="D32" i="16"/>
  <c r="C32" i="16"/>
  <c r="B32" i="16"/>
  <c r="E31" i="16"/>
  <c r="E30" i="16"/>
  <c r="E29" i="16"/>
  <c r="E28" i="16"/>
  <c r="E27" i="16"/>
  <c r="E26" i="16"/>
  <c r="E25" i="16"/>
  <c r="E24" i="16"/>
  <c r="E23" i="16"/>
  <c r="E22" i="16"/>
  <c r="M22" i="16"/>
  <c r="K22" i="16"/>
  <c r="J22" i="16"/>
  <c r="I22" i="16"/>
  <c r="E21" i="16"/>
  <c r="M21" i="16"/>
  <c r="K21" i="16"/>
  <c r="J21" i="16"/>
  <c r="I21" i="16"/>
  <c r="E20" i="16"/>
  <c r="T20" i="16"/>
  <c r="S20" i="16"/>
  <c r="R20" i="16"/>
  <c r="Q20" i="16"/>
  <c r="P20" i="16"/>
  <c r="M20" i="16"/>
  <c r="K20" i="16"/>
  <c r="J20" i="16"/>
  <c r="I20" i="16"/>
  <c r="E19" i="16"/>
  <c r="T19" i="16"/>
  <c r="S19" i="16"/>
  <c r="R19" i="16"/>
  <c r="Q19" i="16"/>
  <c r="P19" i="16"/>
  <c r="M19" i="16"/>
  <c r="K19" i="16"/>
  <c r="J19" i="16"/>
  <c r="I19" i="16"/>
  <c r="E18" i="16"/>
  <c r="T18" i="16"/>
  <c r="S18" i="16"/>
  <c r="R18" i="16"/>
  <c r="Q18" i="16"/>
  <c r="P18" i="16"/>
  <c r="E17" i="16"/>
  <c r="T17" i="16"/>
  <c r="S17" i="16"/>
  <c r="R17" i="16"/>
  <c r="Q17" i="16"/>
  <c r="P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E3" i="16"/>
  <c r="L3" i="16"/>
  <c r="L19" i="16" s="1"/>
  <c r="E2" i="16"/>
  <c r="C20" i="13"/>
  <c r="D20" i="13"/>
  <c r="E20" i="13"/>
  <c r="F20" i="13"/>
  <c r="G20" i="13"/>
  <c r="C19" i="13"/>
  <c r="D19" i="13"/>
  <c r="E19" i="13"/>
  <c r="F19" i="13"/>
  <c r="G19" i="13"/>
  <c r="B20" i="13"/>
  <c r="B19" i="13"/>
  <c r="O22" i="13"/>
  <c r="O21" i="13"/>
  <c r="N22" i="13"/>
  <c r="M22" i="13"/>
  <c r="L22" i="13"/>
  <c r="K22" i="13"/>
  <c r="J22" i="13"/>
  <c r="N21" i="13"/>
  <c r="M21" i="13"/>
  <c r="L21" i="13"/>
  <c r="K21" i="13"/>
  <c r="J21" i="13"/>
  <c r="X3" i="16" l="1"/>
  <c r="X4" i="16"/>
  <c r="X5" i="16"/>
  <c r="X2" i="16"/>
  <c r="E33" i="16"/>
  <c r="L22" i="16"/>
  <c r="L20" i="16"/>
  <c r="E32" i="16"/>
  <c r="L21" i="16"/>
  <c r="BD16" i="2" l="1"/>
  <c r="BD15" i="2"/>
  <c r="BD14" i="2"/>
  <c r="BD13" i="2"/>
  <c r="BD12" i="2"/>
  <c r="BD11" i="2"/>
  <c r="BD10" i="2"/>
  <c r="BD9" i="2"/>
  <c r="BD8" i="2"/>
  <c r="BD7" i="2"/>
  <c r="BD6" i="2"/>
  <c r="BD5" i="2"/>
  <c r="BD4" i="2"/>
  <c r="BD3" i="2"/>
  <c r="AT16" i="2"/>
  <c r="AT15" i="2"/>
  <c r="AT14" i="2"/>
  <c r="AT13" i="2"/>
  <c r="AT12" i="2"/>
  <c r="AT11" i="2"/>
  <c r="AT10" i="2"/>
  <c r="AT9" i="2"/>
  <c r="AT8" i="2"/>
  <c r="AT7" i="2"/>
  <c r="AT6" i="2"/>
  <c r="AT5" i="2"/>
  <c r="AT4" i="2"/>
  <c r="AT3" i="2"/>
  <c r="AJ16" i="2"/>
  <c r="AJ15" i="2"/>
  <c r="AJ14" i="2"/>
  <c r="AJ13" i="2"/>
  <c r="AJ12" i="2"/>
  <c r="AJ11" i="2"/>
  <c r="AJ10" i="2"/>
  <c r="AJ9" i="2"/>
  <c r="AJ8" i="2"/>
  <c r="AJ7" i="2"/>
  <c r="AJ6" i="2"/>
  <c r="AJ5" i="2"/>
  <c r="AJ4" i="2"/>
  <c r="AJ3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C19" i="2"/>
  <c r="D19" i="2"/>
  <c r="E19" i="2"/>
  <c r="C20" i="2"/>
  <c r="D20" i="2"/>
  <c r="E20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O20" i="13"/>
  <c r="N20" i="13"/>
  <c r="M20" i="13"/>
  <c r="L20" i="13"/>
  <c r="K20" i="13"/>
  <c r="J20" i="13"/>
  <c r="O19" i="13"/>
  <c r="N19" i="13"/>
  <c r="M19" i="13"/>
  <c r="L19" i="13"/>
  <c r="K19" i="13"/>
  <c r="J19" i="13"/>
  <c r="G18" i="13"/>
  <c r="F18" i="13"/>
  <c r="E18" i="13"/>
  <c r="D18" i="13"/>
  <c r="C18" i="13"/>
  <c r="B18" i="13"/>
  <c r="G17" i="13"/>
  <c r="F17" i="13"/>
  <c r="E17" i="13"/>
  <c r="D17" i="13"/>
  <c r="C17" i="13"/>
  <c r="B17" i="13"/>
  <c r="S20" i="15"/>
  <c r="R20" i="15"/>
  <c r="Q20" i="15"/>
  <c r="O20" i="15"/>
  <c r="N20" i="15"/>
  <c r="M20" i="15"/>
  <c r="L20" i="15"/>
  <c r="S19" i="15"/>
  <c r="R19" i="15"/>
  <c r="Q19" i="15"/>
  <c r="O19" i="15"/>
  <c r="N19" i="15"/>
  <c r="M19" i="15"/>
  <c r="L19" i="15"/>
  <c r="I18" i="15"/>
  <c r="I17" i="15"/>
  <c r="H18" i="15"/>
  <c r="G18" i="15"/>
  <c r="E18" i="15"/>
  <c r="D18" i="15"/>
  <c r="C18" i="15"/>
  <c r="B18" i="15"/>
  <c r="H17" i="15"/>
  <c r="G17" i="15"/>
  <c r="E17" i="15"/>
  <c r="D17" i="15"/>
  <c r="C17" i="15"/>
  <c r="B17" i="15"/>
  <c r="C18" i="14"/>
  <c r="AL4" i="14" s="1" a="1"/>
  <c r="AL4" i="14" s="1"/>
  <c r="D18" i="14"/>
  <c r="E18" i="14"/>
  <c r="G18" i="14"/>
  <c r="I18" i="14"/>
  <c r="C17" i="14"/>
  <c r="D17" i="14"/>
  <c r="E17" i="14"/>
  <c r="G17" i="14"/>
  <c r="I17" i="14"/>
  <c r="B18" i="14"/>
  <c r="B17" i="14"/>
  <c r="M20" i="14"/>
  <c r="N20" i="14"/>
  <c r="O20" i="14"/>
  <c r="AL5" i="14" s="1" a="1"/>
  <c r="AL5" i="14" s="1"/>
  <c r="Q20" i="14"/>
  <c r="R20" i="14"/>
  <c r="S20" i="14"/>
  <c r="M19" i="14"/>
  <c r="N19" i="14"/>
  <c r="O19" i="14"/>
  <c r="Q19" i="14"/>
  <c r="R19" i="14"/>
  <c r="S19" i="14"/>
  <c r="L20" i="14"/>
  <c r="L19" i="14"/>
  <c r="P18" i="15"/>
  <c r="P17" i="15"/>
  <c r="P16" i="15"/>
  <c r="P15" i="15"/>
  <c r="P14" i="15"/>
  <c r="P13" i="15"/>
  <c r="P12" i="15"/>
  <c r="P11" i="15"/>
  <c r="P10" i="15"/>
  <c r="P9" i="15"/>
  <c r="P8" i="15"/>
  <c r="P7" i="15"/>
  <c r="P6" i="15"/>
  <c r="P5" i="15"/>
  <c r="P4" i="15"/>
  <c r="P3" i="15"/>
  <c r="P19" i="15" s="1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F17" i="15" s="1"/>
  <c r="H11" i="14"/>
  <c r="H18" i="14" s="1"/>
  <c r="P16" i="14"/>
  <c r="F11" i="14"/>
  <c r="P17" i="14"/>
  <c r="P18" i="14"/>
  <c r="P15" i="14"/>
  <c r="P14" i="14"/>
  <c r="P13" i="14"/>
  <c r="P12" i="14"/>
  <c r="P11" i="14"/>
  <c r="P10" i="14"/>
  <c r="P9" i="14"/>
  <c r="P8" i="14"/>
  <c r="P7" i="14"/>
  <c r="P6" i="14"/>
  <c r="P5" i="14"/>
  <c r="P4" i="14"/>
  <c r="P3" i="14"/>
  <c r="F4" i="14"/>
  <c r="F5" i="14"/>
  <c r="F6" i="14"/>
  <c r="F7" i="14"/>
  <c r="F8" i="14"/>
  <c r="F9" i="14"/>
  <c r="F10" i="14"/>
  <c r="F12" i="14"/>
  <c r="F13" i="14"/>
  <c r="F14" i="14"/>
  <c r="F15" i="14"/>
  <c r="F16" i="14"/>
  <c r="F3" i="14"/>
  <c r="AL2" i="14" l="1" a="1"/>
  <c r="AL2" i="14" s="1"/>
  <c r="AL3" i="14" a="1"/>
  <c r="AL3" i="14" s="1"/>
  <c r="F18" i="15"/>
  <c r="P20" i="15"/>
  <c r="AB5" i="15" s="1" a="1"/>
  <c r="AB5" i="15" s="1"/>
  <c r="AB3" i="15" a="1"/>
  <c r="AB3" i="15" s="1"/>
  <c r="AB2" i="15" a="1"/>
  <c r="AB2" i="15" s="1"/>
  <c r="AB4" i="15" a="1"/>
  <c r="AB4" i="15" s="1"/>
  <c r="AT18" i="2"/>
  <c r="BD18" i="2"/>
  <c r="BD17" i="2"/>
  <c r="F17" i="14"/>
  <c r="AB2" i="14" s="1" a="1"/>
  <c r="AJ18" i="2"/>
  <c r="AT17" i="2"/>
  <c r="Z20" i="2"/>
  <c r="AJ17" i="2"/>
  <c r="P20" i="2"/>
  <c r="Z19" i="2"/>
  <c r="P19" i="2"/>
  <c r="F20" i="2"/>
  <c r="F19" i="2"/>
  <c r="P20" i="14"/>
  <c r="AB5" i="14" s="1" a="1"/>
  <c r="AB5" i="14" s="1"/>
  <c r="F18" i="14"/>
  <c r="AB4" i="14" s="1" a="1"/>
  <c r="AB4" i="14" s="1"/>
  <c r="P19" i="14"/>
  <c r="AB3" i="14" s="1" a="1"/>
  <c r="AB3" i="14" s="1"/>
  <c r="H17" i="14"/>
  <c r="BG18" i="2"/>
  <c r="BF18" i="2"/>
  <c r="BE18" i="2"/>
  <c r="BC18" i="2"/>
  <c r="BB18" i="2"/>
  <c r="BA18" i="2"/>
  <c r="AZ18" i="2"/>
  <c r="BG17" i="2"/>
  <c r="BF17" i="2"/>
  <c r="BE17" i="2"/>
  <c r="BC17" i="2"/>
  <c r="BB17" i="2"/>
  <c r="BA17" i="2"/>
  <c r="AZ17" i="2"/>
  <c r="AW18" i="2"/>
  <c r="AV18" i="2"/>
  <c r="AU18" i="2"/>
  <c r="AS18" i="2"/>
  <c r="AR18" i="2"/>
  <c r="AQ18" i="2"/>
  <c r="AP18" i="2"/>
  <c r="AW17" i="2"/>
  <c r="AV17" i="2"/>
  <c r="AU17" i="2"/>
  <c r="AS17" i="2"/>
  <c r="AR17" i="2"/>
  <c r="AQ17" i="2"/>
  <c r="AP17" i="2"/>
  <c r="AG18" i="2"/>
  <c r="AH18" i="2"/>
  <c r="AI18" i="2"/>
  <c r="AK18" i="2"/>
  <c r="AL18" i="2"/>
  <c r="AM18" i="2"/>
  <c r="AG17" i="2"/>
  <c r="AH17" i="2"/>
  <c r="AI17" i="2"/>
  <c r="AK17" i="2"/>
  <c r="AL17" i="2"/>
  <c r="AM17" i="2"/>
  <c r="AF18" i="2"/>
  <c r="AF17" i="2"/>
  <c r="BQ3" i="2" s="1" a="1"/>
  <c r="BQ3" i="2" s="1"/>
  <c r="AB2" i="14" l="1"/>
  <c r="CA3" i="2" a="1"/>
  <c r="CA3" i="2" s="1"/>
  <c r="CK5" i="2" a="1"/>
  <c r="CK5" i="2" s="1"/>
  <c r="CA5" i="2" a="1"/>
  <c r="CA5" i="2" s="1"/>
  <c r="BQ5" i="2" a="1"/>
  <c r="BQ5" i="2" s="1"/>
  <c r="CK3" i="2" a="1"/>
  <c r="CK3" i="2" s="1"/>
  <c r="N18" i="4"/>
  <c r="N17" i="4"/>
  <c r="M18" i="4"/>
  <c r="M17" i="4"/>
  <c r="L18" i="4"/>
  <c r="L17" i="4"/>
  <c r="K18" i="4"/>
  <c r="K17" i="4"/>
  <c r="J18" i="4"/>
  <c r="J17" i="4"/>
  <c r="W18" i="5"/>
  <c r="V18" i="5"/>
  <c r="U18" i="5"/>
  <c r="T18" i="5"/>
  <c r="W17" i="5"/>
  <c r="V17" i="5"/>
  <c r="U17" i="5"/>
  <c r="T17" i="5"/>
  <c r="Q18" i="5"/>
  <c r="Q17" i="5"/>
  <c r="P18" i="5"/>
  <c r="P17" i="5"/>
  <c r="O18" i="5"/>
  <c r="O17" i="5"/>
  <c r="N18" i="5"/>
  <c r="N17" i="5"/>
  <c r="X2" i="4" l="1" a="1"/>
  <c r="X2" i="4" s="1"/>
  <c r="X4" i="4" a="1"/>
  <c r="X4" i="4" s="1"/>
  <c r="AN4" i="5" a="1"/>
  <c r="AN4" i="5" s="1"/>
  <c r="AN2" i="5" a="1"/>
  <c r="AN2" i="5" s="1"/>
  <c r="AH2" i="5" a="1"/>
  <c r="AH2" i="5" s="1"/>
  <c r="AH4" i="5" a="1"/>
  <c r="AH4" i="5" s="1"/>
  <c r="AC20" i="2" l="1"/>
  <c r="AB20" i="2"/>
  <c r="AA20" i="2"/>
  <c r="Y20" i="2"/>
  <c r="X20" i="2"/>
  <c r="W20" i="2"/>
  <c r="V20" i="2"/>
  <c r="AC19" i="2"/>
  <c r="AB19" i="2"/>
  <c r="AA19" i="2"/>
  <c r="Y19" i="2"/>
  <c r="X19" i="2"/>
  <c r="W19" i="2"/>
  <c r="V19" i="2"/>
  <c r="S20" i="2"/>
  <c r="R20" i="2"/>
  <c r="Q20" i="2"/>
  <c r="O20" i="2"/>
  <c r="N20" i="2"/>
  <c r="M20" i="2"/>
  <c r="L20" i="2"/>
  <c r="S19" i="2"/>
  <c r="R19" i="2"/>
  <c r="Q19" i="2"/>
  <c r="O19" i="2"/>
  <c r="N19" i="2"/>
  <c r="M19" i="2"/>
  <c r="L19" i="2"/>
  <c r="G20" i="2"/>
  <c r="H20" i="2"/>
  <c r="I20" i="2"/>
  <c r="G19" i="2"/>
  <c r="H19" i="2"/>
  <c r="I19" i="2"/>
  <c r="B20" i="2"/>
  <c r="B19" i="2"/>
  <c r="CA6" i="2" l="1" a="1"/>
  <c r="CA6" i="2" s="1"/>
  <c r="BQ4" i="2" a="1"/>
  <c r="BQ4" i="2" s="1"/>
  <c r="BQ6" i="2" a="1"/>
  <c r="BQ6" i="2" s="1"/>
  <c r="CK6" i="2" a="1"/>
  <c r="CK6" i="2" s="1"/>
  <c r="CK4" i="2" a="1"/>
  <c r="CK4" i="2" s="1"/>
  <c r="CA4" i="2" a="1"/>
  <c r="CA4" i="2" s="1"/>
  <c r="B19" i="5" l="1"/>
  <c r="K20" i="5"/>
  <c r="J20" i="5"/>
  <c r="I20" i="5"/>
  <c r="H20" i="5"/>
  <c r="E20" i="5"/>
  <c r="D20" i="5"/>
  <c r="C20" i="5"/>
  <c r="B20" i="5"/>
  <c r="K19" i="5"/>
  <c r="J19" i="5"/>
  <c r="I19" i="5"/>
  <c r="H19" i="5"/>
  <c r="E19" i="5"/>
  <c r="D19" i="5"/>
  <c r="C19" i="5"/>
  <c r="F20" i="4"/>
  <c r="E20" i="4"/>
  <c r="D20" i="4"/>
  <c r="B20" i="4"/>
  <c r="F19" i="4"/>
  <c r="E19" i="4"/>
  <c r="D19" i="4"/>
  <c r="B19" i="4"/>
  <c r="AH3" i="5" l="1" a="1"/>
  <c r="AH3" i="5" s="1"/>
  <c r="AN5" i="5" a="1"/>
  <c r="AN5" i="5" s="1"/>
  <c r="AN3" i="5" a="1"/>
  <c r="AN3" i="5" s="1"/>
  <c r="AH5" i="5" a="1"/>
  <c r="AH5" i="5" s="1"/>
  <c r="C20" i="4"/>
  <c r="X5" i="4" s="1" a="1"/>
  <c r="X5" i="4" s="1"/>
  <c r="C19" i="4"/>
  <c r="X3" i="4" s="1" a="1"/>
  <c r="X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<sst xmlns="http://schemas.openxmlformats.org/spreadsheetml/2006/main" count="1161" uniqueCount="177">
  <si>
    <t>PSS</t>
  </si>
  <si>
    <t>Age</t>
  </si>
  <si>
    <t>BMI</t>
  </si>
  <si>
    <t>MI GE 33</t>
  </si>
  <si>
    <t>FO FI 17</t>
  </si>
  <si>
    <t>SO AL 18</t>
  </si>
  <si>
    <t>CO AL 36</t>
  </si>
  <si>
    <t>SI MA 1</t>
  </si>
  <si>
    <t>SE TI 31</t>
  </si>
  <si>
    <t>LU LA 20</t>
  </si>
  <si>
    <t>BA LO 10</t>
  </si>
  <si>
    <t>PI VE 21</t>
  </si>
  <si>
    <t>NI EL 16</t>
  </si>
  <si>
    <t>HE EN 8</t>
  </si>
  <si>
    <t>MA ME 5</t>
  </si>
  <si>
    <t>QU ST 22</t>
  </si>
  <si>
    <t>HI SA 34</t>
  </si>
  <si>
    <t>CA MA 14</t>
  </si>
  <si>
    <t>GE KA 23</t>
  </si>
  <si>
    <t>MA CH 27</t>
  </si>
  <si>
    <t>BR VE 24</t>
  </si>
  <si>
    <t>PA PI 35</t>
  </si>
  <si>
    <t>HA LA 32</t>
  </si>
  <si>
    <t>VO RA 13</t>
  </si>
  <si>
    <t>AB MA 12</t>
  </si>
  <si>
    <t>AD DA 25</t>
  </si>
  <si>
    <t>KA JU 26</t>
  </si>
  <si>
    <t>NE XA 37</t>
  </si>
  <si>
    <t>AL EM 15</t>
  </si>
  <si>
    <t>LO FA 28</t>
  </si>
  <si>
    <t>Moyenne</t>
  </si>
  <si>
    <t>SD</t>
  </si>
  <si>
    <t>Min</t>
  </si>
  <si>
    <t>Max</t>
  </si>
  <si>
    <t>G-comp</t>
  </si>
  <si>
    <t>G-trad</t>
  </si>
  <si>
    <t>AL MA 9</t>
  </si>
  <si>
    <t>Perf_global</t>
  </si>
  <si>
    <t>p = 0.34</t>
  </si>
  <si>
    <t>BR AN 19</t>
  </si>
  <si>
    <t>Mean_RT_global</t>
  </si>
  <si>
    <t>p = 0.68</t>
  </si>
  <si>
    <t>FL LA 3</t>
  </si>
  <si>
    <t>Stress Gexp</t>
  </si>
  <si>
    <t>Stress Gcont</t>
  </si>
  <si>
    <t>Stress</t>
  </si>
  <si>
    <t>Baseline</t>
  </si>
  <si>
    <t xml:space="preserve">Stroop </t>
  </si>
  <si>
    <t>Post</t>
  </si>
  <si>
    <t>Post 10 min</t>
  </si>
  <si>
    <t>Post 20 min</t>
  </si>
  <si>
    <t>Intra</t>
  </si>
  <si>
    <t>Période</t>
  </si>
  <si>
    <t>&lt; 0.001</t>
  </si>
  <si>
    <t>Groupe</t>
  </si>
  <si>
    <t>A x B</t>
  </si>
  <si>
    <t>SD G-trad</t>
  </si>
  <si>
    <t>SD Gcom</t>
  </si>
  <si>
    <t>Pre</t>
  </si>
  <si>
    <t>Stroop</t>
  </si>
  <si>
    <t>&lt;0,001</t>
  </si>
  <si>
    <t>Post 10</t>
  </si>
  <si>
    <t>Post 20</t>
  </si>
  <si>
    <t>Pre classic</t>
  </si>
  <si>
    <t>Stroop classic</t>
  </si>
  <si>
    <t>pré comp</t>
  </si>
  <si>
    <t>Stroop comp</t>
  </si>
  <si>
    <t>Post10 classic</t>
  </si>
  <si>
    <t>Post20 classic</t>
  </si>
  <si>
    <t>Post comp</t>
  </si>
  <si>
    <t>Post 10 comp</t>
  </si>
  <si>
    <t>Post 20 comp</t>
  </si>
  <si>
    <t>RMSSD</t>
  </si>
  <si>
    <t>SDNN</t>
  </si>
  <si>
    <t>HR</t>
  </si>
  <si>
    <t>RMSSD Gcont</t>
  </si>
  <si>
    <t>SDNN Gcont</t>
  </si>
  <si>
    <t>Stroop 1</t>
  </si>
  <si>
    <t>Stroop 2</t>
  </si>
  <si>
    <t>Stroop 3</t>
  </si>
  <si>
    <t>Stroop1'</t>
  </si>
  <si>
    <t>Stroop2'</t>
  </si>
  <si>
    <t>Stroop3'</t>
  </si>
  <si>
    <t xml:space="preserve">Mean Stroop </t>
  </si>
  <si>
    <t>Stroop Classic</t>
  </si>
  <si>
    <t>Stroop Comp</t>
  </si>
  <si>
    <t>Subject</t>
  </si>
  <si>
    <t>Perf_congruent</t>
  </si>
  <si>
    <t>Perf_incongruent</t>
  </si>
  <si>
    <t>Mean_RT_congruent</t>
  </si>
  <si>
    <t>Mean_RT_incongruent</t>
  </si>
  <si>
    <t>Pre comp</t>
  </si>
  <si>
    <t>Post10 comp</t>
  </si>
  <si>
    <t>Post20 comp</t>
  </si>
  <si>
    <t>Cortisol (ng/mL)</t>
  </si>
  <si>
    <r>
      <t>α</t>
    </r>
    <r>
      <rPr>
        <b/>
        <sz val="10"/>
        <color rgb="FF000000"/>
        <rFont val="Arial"/>
        <family val="2"/>
      </rPr>
      <t>-amylase (U/mL)</t>
    </r>
  </si>
  <si>
    <t>α-amylase (U/mL)</t>
  </si>
  <si>
    <t>Cortisol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</si>
  <si>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</si>
  <si>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</si>
  <si>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</si>
  <si>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</si>
  <si>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</si>
  <si>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</si>
  <si>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</si>
  <si>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</si>
  <si>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</si>
  <si>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</si>
  <si>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</si>
  <si>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Post classic</t>
  </si>
  <si>
    <t>#12</t>
  </si>
  <si>
    <t>Post 10 classic</t>
  </si>
  <si>
    <t>#13</t>
  </si>
  <si>
    <t>Post 20 classic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</si>
  <si>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</si>
  <si>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</si>
  <si>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</si>
  <si>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</si>
  <si>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</si>
  <si>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</si>
  <si>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</si>
  <si>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</si>
  <si>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</si>
  <si>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</si>
  <si>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</si>
  <si>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</si>
  <si>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</si>
  <si>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</si>
  <si>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</si>
  <si>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</si>
  <si>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Post_10</t>
  </si>
  <si>
    <t>Post_20</t>
  </si>
  <si>
    <t>RMSSD Gexp</t>
  </si>
  <si>
    <t>SDNN  Gexp</t>
  </si>
  <si>
    <t>Weight</t>
  </si>
  <si>
    <t>Height</t>
  </si>
  <si>
    <t>Gexp</t>
  </si>
  <si>
    <t>Gcont</t>
  </si>
  <si>
    <t>Systolic pressure Gexp</t>
  </si>
  <si>
    <t>Systolic pressure Gcont</t>
  </si>
  <si>
    <t>Diastolic pressure Gexp</t>
  </si>
  <si>
    <t>Diastolic pressure Gcont</t>
  </si>
  <si>
    <t>HR Gexp</t>
  </si>
  <si>
    <t>HR Gcont</t>
  </si>
  <si>
    <t>Breathing rate</t>
  </si>
  <si>
    <t>Breathing rate Gcont</t>
  </si>
  <si>
    <t>Breathing rate Gexp</t>
  </si>
  <si>
    <t>P-value</t>
  </si>
  <si>
    <t>Cohen d</t>
  </si>
  <si>
    <t>Systolic pressure</t>
  </si>
  <si>
    <t>Diastolic pressure</t>
  </si>
  <si>
    <t>Mean</t>
  </si>
  <si>
    <t xml:space="preserve">Mydriasis Gcont  </t>
  </si>
  <si>
    <t>Mydriasis Gexp</t>
  </si>
  <si>
    <t>&lt;0.001</t>
  </si>
  <si>
    <t>p</t>
  </si>
  <si>
    <t>n²partiel</t>
  </si>
  <si>
    <t>F</t>
  </si>
  <si>
    <t>ddl</t>
  </si>
  <si>
    <t>3.03 ; 84.92</t>
  </si>
  <si>
    <t>1 ; 28</t>
  </si>
  <si>
    <t>Mydriasis globale</t>
  </si>
  <si>
    <t>Mydriasis Stroop</t>
  </si>
  <si>
    <t>1.39 ; 37.45</t>
  </si>
  <si>
    <t>1 ; 27</t>
  </si>
  <si>
    <t>1.71 ; 46.06</t>
  </si>
  <si>
    <t>1.51 ; 40.73</t>
  </si>
  <si>
    <t>3.02 ; 84.62</t>
  </si>
  <si>
    <t>2.76 ; 77.31</t>
  </si>
  <si>
    <t>2.76 ; 77.33</t>
  </si>
  <si>
    <t>4 ; 112</t>
  </si>
  <si>
    <t>3 ; 84</t>
  </si>
  <si>
    <t>Breathing rate blocs</t>
  </si>
  <si>
    <t>2 ; 56</t>
  </si>
  <si>
    <t>HR blocs</t>
  </si>
  <si>
    <t>SDNN blocs</t>
  </si>
  <si>
    <t>RMSSD blocs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</si>
</sst>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 Nova Light"/>
      <family val="2"/>
    </font>
    <font>
      <b/>
      <i/>
      <sz val="10"/>
      <color rgb="FF000000"/>
      <name val="Arial"/>
      <family val="2"/>
    </font>
    <font>
      <b/>
      <i/>
      <sz val="11"/>
      <color rgb="FFFF0000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/>
    <xf numFmtId="9" fontId="22" fillId="0" borderId="0" applyFont="0" applyFill="0" applyBorder="0" applyAlignment="0" applyProtection="0"/>
  </cellStyleXfs>
  <cellXfs count="100">
    <xf numFmtId="0" fontId="0" fillId="0" borderId="0" xfId="0"/>
    <xf numFmtId="1" fontId="0" fillId="0" borderId="1" xfId="0" applyNumberFormat="1" applyBorder="1" applyAlignment="1">
      <alignment horizontal="center"/>
    </xf>
    <xf numFmtId="1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" fontId="3" fillId="0" borderId="1" xfId="0" applyNumberFormat="1" applyFont="1" applyBorder="1"/>
    <xf numFmtId="1" fontId="2" fillId="0" borderId="1" xfId="0" applyNumberFormat="1" applyFont="1" applyBorder="1"/>
    <xf numFmtId="0" fontId="0" fillId="0" borderId="1" xfId="0" applyBorder="1"/>
    <xf numFmtId="1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1" fillId="0" borderId="3" xfId="0" applyFont="1" applyBorder="1"/>
    <xf numFmtId="1" fontId="0" fillId="0" borderId="1" xfId="0" applyNumberForma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/>
    <xf numFmtId="1" fontId="6" fillId="0" borderId="1" xfId="0" applyNumberFormat="1" applyFont="1" applyBorder="1"/>
    <xf numFmtId="0" fontId="0" fillId="0" borderId="3" xfId="0" applyBorder="1"/>
    <xf numFmtId="0" fontId="7" fillId="0" borderId="1" xfId="0" applyFont="1" applyBorder="1" applyAlignment="1">
      <alignment horizontal="right" wrapText="1"/>
    </xf>
    <xf numFmtId="0" fontId="8" fillId="0" borderId="1" xfId="0" applyFont="1" applyBorder="1" applyAlignment="1">
      <alignment horizontal="center"/>
    </xf>
    <xf numFmtId="164" fontId="0" fillId="0" borderId="1" xfId="0" applyNumberFormat="1" applyBorder="1"/>
    <xf numFmtId="164" fontId="6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2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1" fillId="0" borderId="0" xfId="0" applyFont="1"/>
    <xf numFmtId="2" fontId="3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2" fontId="7" fillId="0" borderId="1" xfId="0" applyNumberFormat="1" applyFont="1" applyBorder="1" applyAlignment="1">
      <alignment horizontal="right" wrapText="1"/>
    </xf>
    <xf numFmtId="0" fontId="7" fillId="0" borderId="1" xfId="0" applyFont="1" applyBorder="1" applyAlignment="1">
      <alignment vertical="center"/>
    </xf>
    <xf numFmtId="0" fontId="5" fillId="0" borderId="3" xfId="0" applyFont="1" applyBorder="1"/>
    <xf numFmtId="0" fontId="2" fillId="0" borderId="3" xfId="0" applyFont="1" applyBorder="1"/>
    <xf numFmtId="0" fontId="3" fillId="0" borderId="3" xfId="0" applyFont="1" applyBorder="1"/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0" fillId="0" borderId="1" xfId="0" applyFont="1" applyBorder="1"/>
    <xf numFmtId="1" fontId="10" fillId="0" borderId="1" xfId="0" applyNumberFormat="1" applyFont="1" applyBorder="1"/>
    <xf numFmtId="164" fontId="10" fillId="0" borderId="1" xfId="0" applyNumberFormat="1" applyFont="1" applyBorder="1"/>
    <xf numFmtId="2" fontId="10" fillId="0" borderId="1" xfId="0" applyNumberFormat="1" applyFont="1" applyBorder="1"/>
    <xf numFmtId="0" fontId="7" fillId="0" borderId="5" xfId="0" applyFont="1" applyBorder="1" applyAlignment="1">
      <alignment wrapText="1"/>
    </xf>
    <xf numFmtId="0" fontId="11" fillId="0" borderId="1" xfId="0" applyFont="1" applyBorder="1"/>
    <xf numFmtId="0" fontId="7" fillId="0" borderId="4" xfId="0" applyFont="1" applyBorder="1" applyAlignment="1">
      <alignment horizontal="right" wrapText="1"/>
    </xf>
    <xf numFmtId="0" fontId="7" fillId="0" borderId="0" xfId="0" applyFont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0" fontId="4" fillId="0" borderId="1" xfId="0" applyFont="1" applyBorder="1"/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13" fillId="0" borderId="0" xfId="0" applyFont="1"/>
    <xf numFmtId="0" fontId="16" fillId="0" borderId="1" xfId="0" applyFont="1" applyBorder="1" applyAlignment="1">
      <alignment horizontal="center"/>
    </xf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0" fillId="0" borderId="1" xfId="0" applyFont="1" applyBorder="1"/>
    <xf numFmtId="0" fontId="21" fillId="0" borderId="1" xfId="0" applyFont="1" applyBorder="1" applyAlignment="1">
      <alignment horizontal="center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11" fillId="0" borderId="0" xfId="0" applyFont="1"/>
    <xf numFmtId="0" fontId="0" fillId="0" borderId="1" xfId="0" applyBorder="1" applyAlignment="1">
      <alignment vertical="center" wrapText="1"/>
    </xf>
    <xf numFmtId="9" fontId="0" fillId="0" borderId="0" xfId="1" applyFont="1"/>
    <xf numFmtId="0" fontId="1" fillId="0" borderId="1" xfId="0" applyFont="1" applyBorder="1" applyAlignment="1">
      <alignment vertical="center" wrapText="1"/>
    </xf>
    <xf numFmtId="0" fontId="23" fillId="0" borderId="1" xfId="0" applyFont="1" applyBorder="1" applyAlignment="1">
      <alignment wrapText="1"/>
    </xf>
    <xf numFmtId="0" fontId="8" fillId="0" borderId="1" xfId="0" applyFont="1" applyBorder="1"/>
    <xf numFmtId="0" fontId="1" fillId="0" borderId="1" xfId="0" applyFont="1" applyBorder="1" applyAlignment="1">
      <alignment horizontal="left"/>
    </xf>
    <xf numFmtId="2" fontId="11" fillId="0" borderId="1" xfId="0" applyNumberFormat="1" applyFont="1" applyBorder="1"/>
    <xf numFmtId="0" fontId="12" fillId="0" borderId="5" xfId="0" applyFont="1" applyBorder="1" applyAlignment="1">
      <alignment wrapText="1"/>
    </xf>
    <xf numFmtId="1" fontId="7" fillId="0" borderId="1" xfId="0" applyNumberFormat="1" applyFont="1" applyBorder="1" applyAlignment="1">
      <alignment horizontal="right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6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10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00FF"/>
      <color rgb="FFD91A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'Perceived stress'!$W$2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'Perceived stress'!$X$4:$AB$4</c:f>
                <c:numCache>
                  <c:formatCode>General</c:formatCode>
                  <c:ptCount val="5"/>
                  <c:pt idx="0">
                    <c:v>22.37787368740004</c:v>
                  </c:pt>
                  <c:pt idx="1">
                    <c:v>22.645864188305218</c:v>
                  </c:pt>
                  <c:pt idx="2">
                    <c:v>23.350765335599647</c:v>
                  </c:pt>
                  <c:pt idx="3">
                    <c:v>16.869407905345192</c:v>
                  </c:pt>
                  <c:pt idx="4">
                    <c:v>15.220178913332333</c:v>
                  </c:pt>
                </c:numCache>
              </c:numRef>
            </c:plus>
            <c:minus>
              <c:numRef>
                <c:f>'Perceived stress'!$X$4:$AB$4</c:f>
                <c:numCache>
                  <c:formatCode>General</c:formatCode>
                  <c:ptCount val="5"/>
                  <c:pt idx="0">
                    <c:v>22.37787368740004</c:v>
                  </c:pt>
                  <c:pt idx="1">
                    <c:v>22.645864188305218</c:v>
                  </c:pt>
                  <c:pt idx="2">
                    <c:v>23.350765335599647</c:v>
                  </c:pt>
                  <c:pt idx="3">
                    <c:v>16.869407905345192</c:v>
                  </c:pt>
                  <c:pt idx="4">
                    <c:v>15.220178913332333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'Perceived stress'!$X$1:$AB$1</c:f>
              <c:strCache>
                <c:ptCount val="5"/>
                <c:pt idx="0">
                  <c:v>Baseline</c:v>
                </c:pt>
                <c:pt idx="1">
                  <c:v>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'Perceived stress'!$X$2:$AB$2</c:f>
              <c:numCache>
                <c:formatCode>0.00</c:formatCode>
                <c:ptCount val="5"/>
                <c:pt idx="0">
                  <c:v>26</c:v>
                </c:pt>
                <c:pt idx="1">
                  <c:v>40.714285714285708</c:v>
                </c:pt>
                <c:pt idx="2">
                  <c:v>32.214285714285715</c:v>
                </c:pt>
                <c:pt idx="3">
                  <c:v>23.500000000000007</c:v>
                </c:pt>
                <c:pt idx="4">
                  <c:v>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BB-4D4F-8968-E472036AF2B6}"/>
            </c:ext>
          </c:extLst>
        </c:ser>
        <c:ser>
          <c:idx val="1"/>
          <c:order val="1"/>
          <c:tx>
            <c:strRef>
              <c:f>'Perceived stress'!$W$3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'Perceived stress'!$X$5:$AB$5</c:f>
                <c:numCache>
                  <c:formatCode>General</c:formatCode>
                  <c:ptCount val="5"/>
                  <c:pt idx="0">
                    <c:v>27.579883973650063</c:v>
                  </c:pt>
                  <c:pt idx="1">
                    <c:v>25.062255817596824</c:v>
                  </c:pt>
                  <c:pt idx="2">
                    <c:v>26.389076022728286</c:v>
                  </c:pt>
                  <c:pt idx="3">
                    <c:v>25.843035812380876</c:v>
                  </c:pt>
                  <c:pt idx="4">
                    <c:v>26.341348991019167</c:v>
                  </c:pt>
                </c:numCache>
              </c:numRef>
            </c:plus>
            <c:minus>
              <c:numRef>
                <c:f>'Perceived stress'!$X$5:$AB$5</c:f>
                <c:numCache>
                  <c:formatCode>General</c:formatCode>
                  <c:ptCount val="5"/>
                  <c:pt idx="0">
                    <c:v>27.579883973650063</c:v>
                  </c:pt>
                  <c:pt idx="1">
                    <c:v>25.062255817596824</c:v>
                  </c:pt>
                  <c:pt idx="2">
                    <c:v>26.389076022728286</c:v>
                  </c:pt>
                  <c:pt idx="3">
                    <c:v>25.843035812380876</c:v>
                  </c:pt>
                  <c:pt idx="4">
                    <c:v>26.341348991019167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'Perceived stress'!$X$1:$AB$1</c:f>
              <c:strCache>
                <c:ptCount val="5"/>
                <c:pt idx="0">
                  <c:v>Baseline</c:v>
                </c:pt>
                <c:pt idx="1">
                  <c:v>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'Perceived stress'!$X$3:$AB$3</c:f>
              <c:numCache>
                <c:formatCode>0.00</c:formatCode>
                <c:ptCount val="5"/>
                <c:pt idx="0">
                  <c:v>36.125</c:v>
                </c:pt>
                <c:pt idx="1">
                  <c:v>64.625</c:v>
                </c:pt>
                <c:pt idx="2">
                  <c:v>36.375000000000007</c:v>
                </c:pt>
                <c:pt idx="3">
                  <c:v>27.562499999999996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BB-4D4F-8968-E472036A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518063"/>
        <c:axId val="423526703"/>
      </c:barChart>
      <c:catAx>
        <c:axId val="4235180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23526703"/>
        <c:crosses val="autoZero"/>
        <c:auto val="1"/>
        <c:lblAlgn val="ctr"/>
        <c:lblOffset val="100"/>
        <c:noMultiLvlLbl val="0"/>
      </c:catAx>
      <c:valAx>
        <c:axId val="423526703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Perceived stress [0-100]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42351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Pressure!$AG$2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plus>
            <c:min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Pressure!$AH$2:$AK$2</c:f>
              <c:numCache>
                <c:formatCode>0.00</c:formatCode>
                <c:ptCount val="4"/>
                <c:pt idx="0">
                  <c:v>120.92857142857143</c:v>
                </c:pt>
                <c:pt idx="1">
                  <c:v>120.64285714285714</c:v>
                </c:pt>
                <c:pt idx="2">
                  <c:v>119.5</c:v>
                </c:pt>
                <c:pt idx="3">
                  <c:v>120.21428571428571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A-4774-8952-D0A2C6CA8A46}"/>
            </c:ext>
          </c:extLst>
        </c:ser>
        <c:ser>
          <c:idx val="1"/>
          <c:order val="1"/>
          <c:tx>
            <c:strRef>
              <c:f>Pressure!$AG$3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plus>
            <c:min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Pressure!$AH$3:$AK$3</c:f>
              <c:numCache>
                <c:formatCode>0.00</c:formatCode>
                <c:ptCount val="4"/>
                <c:pt idx="0">
                  <c:v>122.5</c:v>
                </c:pt>
                <c:pt idx="1">
                  <c:v>124.375</c:v>
                </c:pt>
                <c:pt idx="2">
                  <c:v>124.5</c:v>
                </c:pt>
                <c:pt idx="3">
                  <c:v>125.9375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A-4774-8952-D0A2C6CA8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date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0"/>
        <c:lblOffset val="100"/>
        <c:baseTimeUnit val="days"/>
      </c:date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Systolic</a:t>
                </a:r>
                <a:r>
                  <a:rPr lang="fr-FR" b="1" baseline="0"/>
                  <a:t> b</a:t>
                </a:r>
                <a:r>
                  <a:rPr lang="fr-FR" b="1"/>
                  <a:t>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Pressure!$AM$2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plus>
            <c:min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Pressure!$AN$2:$AQ$2</c:f>
              <c:numCache>
                <c:formatCode>0.00</c:formatCode>
                <c:ptCount val="4"/>
                <c:pt idx="0">
                  <c:v>73.142857142857139</c:v>
                </c:pt>
                <c:pt idx="1">
                  <c:v>72.571428571428569</c:v>
                </c:pt>
                <c:pt idx="2">
                  <c:v>75.714285714285708</c:v>
                </c:pt>
                <c:pt idx="3">
                  <c:v>75.214285714285708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7-4B25-9487-F7737DA37F8D}"/>
            </c:ext>
          </c:extLst>
        </c:ser>
        <c:ser>
          <c:idx val="1"/>
          <c:order val="1"/>
          <c:tx>
            <c:strRef>
              <c:f>Pressure!$AM$3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plus>
            <c:min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Pressure!$AN$3:$AQ$3</c:f>
              <c:numCache>
                <c:formatCode>0.00</c:formatCode>
                <c:ptCount val="4"/>
                <c:pt idx="0">
                  <c:v>74.625</c:v>
                </c:pt>
                <c:pt idx="1">
                  <c:v>75.875</c:v>
                </c:pt>
                <c:pt idx="2">
                  <c:v>75.6875</c:v>
                </c:pt>
                <c:pt idx="3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47-4B25-9487-F7737DA3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Diastolic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Respiration!$AA$2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plus>
            <c:min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Respiration!$AB$2:$AI$2</c:f>
              <c:numCache>
                <c:formatCode>0.00</c:formatCode>
                <c:ptCount val="5"/>
                <c:pt idx="0">
                  <c:v>15.642857142857148</c:v>
                </c:pt>
                <c:pt idx="1">
                  <c:v>18.685714285714283</c:v>
                </c:pt>
                <c:pt idx="2">
                  <c:v>19.414285714285715</c:v>
                </c:pt>
                <c:pt idx="3">
                  <c:v>19.071428571428573</c:v>
                </c:pt>
                <c:pt idx="4">
                  <c:v>16.88571428571429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4-4DB7-9F01-99F8FC4E009F}"/>
            </c:ext>
          </c:extLst>
        </c:ser>
        <c:ser>
          <c:idx val="1"/>
          <c:order val="1"/>
          <c:tx>
            <c:strRef>
              <c:f>Respiration!$AA$3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plus>
            <c:min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Respiration!$AB$3:$AI$3</c:f>
              <c:numCache>
                <c:formatCode>0.00</c:formatCode>
                <c:ptCount val="5"/>
                <c:pt idx="0">
                  <c:v>16.912500000000001</c:v>
                </c:pt>
                <c:pt idx="1">
                  <c:v>21.2</c:v>
                </c:pt>
                <c:pt idx="2">
                  <c:v>18.75</c:v>
                </c:pt>
                <c:pt idx="3">
                  <c:v>17.8125</c:v>
                </c:pt>
                <c:pt idx="4">
                  <c:v>16.274999999999999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4-4DB7-9F01-99F8FC4E00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18543"/>
        <c:axId val="345002703"/>
      </c:barChart>
      <c:catAx>
        <c:axId val="3450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02703"/>
        <c:crosses val="autoZero"/>
        <c:auto val="1"/>
        <c:lblAlgn val="ctr"/>
        <c:lblOffset val="100"/>
        <c:noMultiLvlLbl val="0"/>
      </c:catAx>
      <c:valAx>
        <c:axId val="34500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Respiratory rate (</a:t>
                </a:r>
                <a:r>
                  <a:rPr lang="fr-FR" sz="1100" b="1" i="0" u="none" strike="noStrike" baseline="0"/>
                  <a:t>breaths/min</a:t>
                </a:r>
                <a:r>
                  <a:rPr lang="fr-FR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2959937865236"/>
          <c:y val="5.2390400604686319E-2"/>
          <c:w val="0.82237926967801422"/>
          <c:h val="0.71484628409544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HRV!$BP$3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HRV!$BQ$5:$BX$5</c:f>
                <c:numCache>
                  <c:formatCode>General</c:formatCode>
                  <c:ptCount val="5"/>
                  <c:pt idx="0">
                    <c:v>36.634422022853357</c:v>
                  </c:pt>
                  <c:pt idx="1">
                    <c:v>15.925794956163529</c:v>
                  </c:pt>
                  <c:pt idx="2">
                    <c:v>22.627492183049853</c:v>
                  </c:pt>
                  <c:pt idx="3">
                    <c:v>27.559203466189494</c:v>
                  </c:pt>
                  <c:pt idx="4">
                    <c:v>32.28100563881862</c:v>
                  </c:pt>
                </c:numCache>
              </c:numRef>
            </c:plus>
            <c:minus>
              <c:numRef>
                <c:f>HRV!$BQ$5:$BX$5</c:f>
                <c:numCache>
                  <c:formatCode>General</c:formatCode>
                  <c:ptCount val="5"/>
                  <c:pt idx="0">
                    <c:v>36.634422022853357</c:v>
                  </c:pt>
                  <c:pt idx="1">
                    <c:v>15.925794956163529</c:v>
                  </c:pt>
                  <c:pt idx="2">
                    <c:v>22.627492183049853</c:v>
                  </c:pt>
                  <c:pt idx="3">
                    <c:v>27.559203466189494</c:v>
                  </c:pt>
                  <c:pt idx="4">
                    <c:v>32.28100563881862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HRV!$BQ$2:$BX$2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HRV!$BQ$3:$BX$3</c:f>
              <c:numCache>
                <c:formatCode>0.00</c:formatCode>
                <c:ptCount val="5"/>
                <c:pt idx="0">
                  <c:v>46.325442125718403</c:v>
                </c:pt>
                <c:pt idx="1">
                  <c:v>29.622637721571387</c:v>
                </c:pt>
                <c:pt idx="2">
                  <c:v>37.113836299744371</c:v>
                </c:pt>
                <c:pt idx="3">
                  <c:v>40.771171736357402</c:v>
                </c:pt>
                <c:pt idx="4">
                  <c:v>45.562491419364925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8-48CC-A614-6E98A326EF09}"/>
            </c:ext>
          </c:extLst>
        </c:ser>
        <c:ser>
          <c:idx val="1"/>
          <c:order val="1"/>
          <c:tx>
            <c:strRef>
              <c:f>HRV!$BP$4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HRV!$BQ$6:$BX$6</c:f>
                <c:numCache>
                  <c:formatCode>General</c:formatCode>
                  <c:ptCount val="5"/>
                  <c:pt idx="0">
                    <c:v>16.480551657090885</c:v>
                  </c:pt>
                  <c:pt idx="1">
                    <c:v>14.472247216622526</c:v>
                  </c:pt>
                  <c:pt idx="2">
                    <c:v>18.898500936788174</c:v>
                  </c:pt>
                  <c:pt idx="3">
                    <c:v>23.244935847402385</c:v>
                  </c:pt>
                  <c:pt idx="4">
                    <c:v>27.788570925374774</c:v>
                  </c:pt>
                </c:numCache>
              </c:numRef>
            </c:plus>
            <c:minus>
              <c:numRef>
                <c:f>HRV!$BQ$6:$BX$6</c:f>
                <c:numCache>
                  <c:formatCode>General</c:formatCode>
                  <c:ptCount val="5"/>
                  <c:pt idx="0">
                    <c:v>16.480551657090885</c:v>
                  </c:pt>
                  <c:pt idx="1">
                    <c:v>14.472247216622526</c:v>
                  </c:pt>
                  <c:pt idx="2">
                    <c:v>18.898500936788174</c:v>
                  </c:pt>
                  <c:pt idx="3">
                    <c:v>23.244935847402385</c:v>
                  </c:pt>
                  <c:pt idx="4">
                    <c:v>27.788570925374774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HRV!$BQ$2:$BX$2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HRV!$BQ$4:$BX$4</c:f>
              <c:numCache>
                <c:formatCode>0.00</c:formatCode>
                <c:ptCount val="5"/>
                <c:pt idx="0">
                  <c:v>36.018590657990096</c:v>
                </c:pt>
                <c:pt idx="1">
                  <c:v>25.572962181858454</c:v>
                </c:pt>
                <c:pt idx="2">
                  <c:v>30.286468612995701</c:v>
                </c:pt>
                <c:pt idx="3">
                  <c:v>35.922973121739666</c:v>
                </c:pt>
                <c:pt idx="4">
                  <c:v>38.194052632980302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C8-48CC-A614-6E98A326E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RMSSD (ms)</a:t>
                </a:r>
              </a:p>
            </c:rich>
          </c:tx>
          <c:layout>
            <c:manualLayout>
              <c:xMode val="edge"/>
              <c:yMode val="edge"/>
              <c:x val="2.2029913413333432E-2"/>
              <c:y val="0.253409916022401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HRV!$BZ$3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HRV!$CA$5:$CH$5</c:f>
                <c:numCache>
                  <c:formatCode>General</c:formatCode>
                  <c:ptCount val="5"/>
                  <c:pt idx="0">
                    <c:v>41.912794222456242</c:v>
                  </c:pt>
                  <c:pt idx="1">
                    <c:v>20.681123724818065</c:v>
                  </c:pt>
                  <c:pt idx="2">
                    <c:v>34.397374521331727</c:v>
                  </c:pt>
                  <c:pt idx="3">
                    <c:v>39.076273228356754</c:v>
                  </c:pt>
                  <c:pt idx="4">
                    <c:v>41.44057509053588</c:v>
                  </c:pt>
                </c:numCache>
              </c:numRef>
            </c:plus>
            <c:minus>
              <c:numRef>
                <c:f>HRV!$CA$5:$CH$5</c:f>
                <c:numCache>
                  <c:formatCode>General</c:formatCode>
                  <c:ptCount val="5"/>
                  <c:pt idx="0">
                    <c:v>41.912794222456242</c:v>
                  </c:pt>
                  <c:pt idx="1">
                    <c:v>20.681123724818065</c:v>
                  </c:pt>
                  <c:pt idx="2">
                    <c:v>34.397374521331727</c:v>
                  </c:pt>
                  <c:pt idx="3">
                    <c:v>39.076273228356754</c:v>
                  </c:pt>
                  <c:pt idx="4">
                    <c:v>41.44057509053588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HRV!$CA$2:$CH$2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HRV!$CA$3:$CH$3</c:f>
              <c:numCache>
                <c:formatCode>0.00</c:formatCode>
                <c:ptCount val="5"/>
                <c:pt idx="0">
                  <c:v>61.631970106926943</c:v>
                </c:pt>
                <c:pt idx="1">
                  <c:v>47.173291548878233</c:v>
                </c:pt>
                <c:pt idx="2">
                  <c:v>56.204732975244504</c:v>
                </c:pt>
                <c:pt idx="3">
                  <c:v>61.767216235387245</c:v>
                </c:pt>
                <c:pt idx="4">
                  <c:v>62.401700628976648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0-4DCD-B9EB-FD737C68CDF7}"/>
            </c:ext>
          </c:extLst>
        </c:ser>
        <c:ser>
          <c:idx val="1"/>
          <c:order val="1"/>
          <c:tx>
            <c:strRef>
              <c:f>HRV!$BZ$4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HRV!$CA$6:$CH$6</c:f>
                <c:numCache>
                  <c:formatCode>General</c:formatCode>
                  <c:ptCount val="5"/>
                  <c:pt idx="0">
                    <c:v>15.852379111374091</c:v>
                  </c:pt>
                  <c:pt idx="1">
                    <c:v>14.822396403347556</c:v>
                  </c:pt>
                  <c:pt idx="2">
                    <c:v>25.113696071286494</c:v>
                  </c:pt>
                  <c:pt idx="3">
                    <c:v>22.051479319108093</c:v>
                  </c:pt>
                  <c:pt idx="4">
                    <c:v>22.134350714362348</c:v>
                  </c:pt>
                </c:numCache>
              </c:numRef>
            </c:plus>
            <c:minus>
              <c:numRef>
                <c:f>HRV!$CA$6:$CH$6</c:f>
                <c:numCache>
                  <c:formatCode>General</c:formatCode>
                  <c:ptCount val="5"/>
                  <c:pt idx="0">
                    <c:v>15.852379111374091</c:v>
                  </c:pt>
                  <c:pt idx="1">
                    <c:v>14.822396403347556</c:v>
                  </c:pt>
                  <c:pt idx="2">
                    <c:v>25.113696071286494</c:v>
                  </c:pt>
                  <c:pt idx="3">
                    <c:v>22.051479319108093</c:v>
                  </c:pt>
                  <c:pt idx="4">
                    <c:v>22.134350714362348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HRV!$CA$2:$CH$2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HRV!$CA$4:$CH$4</c:f>
              <c:numCache>
                <c:formatCode>0.00</c:formatCode>
                <c:ptCount val="5"/>
                <c:pt idx="0">
                  <c:v>44.963860460665039</c:v>
                </c:pt>
                <c:pt idx="1">
                  <c:v>39.884575165059594</c:v>
                </c:pt>
                <c:pt idx="2">
                  <c:v>41.55382445457181</c:v>
                </c:pt>
                <c:pt idx="3">
                  <c:v>48.791227589251626</c:v>
                </c:pt>
                <c:pt idx="4">
                  <c:v>45.416136065875996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D0-4DCD-B9EB-FD737C68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SDNN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HRV!$CJ$3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HRV!$CK$5:$CR$5</c:f>
                <c:numCache>
                  <c:formatCode>General</c:formatCode>
                  <c:ptCount val="5"/>
                  <c:pt idx="0">
                    <c:v>11.849325834494994</c:v>
                  </c:pt>
                  <c:pt idx="1">
                    <c:v>11.436108815004243</c:v>
                  </c:pt>
                  <c:pt idx="2">
                    <c:v>10.76789577908186</c:v>
                  </c:pt>
                  <c:pt idx="3">
                    <c:v>10.790546729993139</c:v>
                  </c:pt>
                  <c:pt idx="4">
                    <c:v>9.8688380575525372</c:v>
                  </c:pt>
                </c:numCache>
              </c:numRef>
            </c:plus>
            <c:minus>
              <c:numRef>
                <c:f>HRV!$CK$5:$CR$5</c:f>
                <c:numCache>
                  <c:formatCode>General</c:formatCode>
                  <c:ptCount val="5"/>
                  <c:pt idx="0">
                    <c:v>11.849325834494994</c:v>
                  </c:pt>
                  <c:pt idx="1">
                    <c:v>11.436108815004243</c:v>
                  </c:pt>
                  <c:pt idx="2">
                    <c:v>10.76789577908186</c:v>
                  </c:pt>
                  <c:pt idx="3">
                    <c:v>10.790546729993139</c:v>
                  </c:pt>
                  <c:pt idx="4">
                    <c:v>9.8688380575525372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HRV!$CK$2:$CR$2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HRV!$CK$3:$CR$3</c:f>
              <c:numCache>
                <c:formatCode>0.00</c:formatCode>
                <c:ptCount val="5"/>
                <c:pt idx="0">
                  <c:v>64.463770610541559</c:v>
                </c:pt>
                <c:pt idx="1">
                  <c:v>69.821749241533666</c:v>
                </c:pt>
                <c:pt idx="2">
                  <c:v>65.377802617915918</c:v>
                </c:pt>
                <c:pt idx="3">
                  <c:v>64.496429218282827</c:v>
                </c:pt>
                <c:pt idx="4">
                  <c:v>62.383024188909438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8-4626-9E8A-3B9AD3A19F49}"/>
            </c:ext>
          </c:extLst>
        </c:ser>
        <c:ser>
          <c:idx val="1"/>
          <c:order val="1"/>
          <c:tx>
            <c:strRef>
              <c:f>HRV!$CJ$4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HRV!$CK$6:$CR$6</c:f>
                <c:numCache>
                  <c:formatCode>General</c:formatCode>
                  <c:ptCount val="5"/>
                  <c:pt idx="0">
                    <c:v>13.257957766540423</c:v>
                  </c:pt>
                  <c:pt idx="1">
                    <c:v>14.507441278756097</c:v>
                  </c:pt>
                  <c:pt idx="2">
                    <c:v>12.839049396407113</c:v>
                  </c:pt>
                  <c:pt idx="3">
                    <c:v>12.335136550643918</c:v>
                  </c:pt>
                  <c:pt idx="4">
                    <c:v>12.760408344430138</c:v>
                  </c:pt>
                </c:numCache>
              </c:numRef>
            </c:plus>
            <c:minus>
              <c:numRef>
                <c:f>HRV!$CK$6:$CR$6</c:f>
                <c:numCache>
                  <c:formatCode>General</c:formatCode>
                  <c:ptCount val="5"/>
                  <c:pt idx="0">
                    <c:v>13.257957766540423</c:v>
                  </c:pt>
                  <c:pt idx="1">
                    <c:v>14.507441278756097</c:v>
                  </c:pt>
                  <c:pt idx="2">
                    <c:v>12.839049396407113</c:v>
                  </c:pt>
                  <c:pt idx="3">
                    <c:v>12.335136550643918</c:v>
                  </c:pt>
                  <c:pt idx="4">
                    <c:v>12.760408344430138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HRV!$CK$2:$CR$2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HRV!$CK$4:$CR$4</c:f>
              <c:numCache>
                <c:formatCode>0.00</c:formatCode>
                <c:ptCount val="5"/>
                <c:pt idx="0">
                  <c:v>67.81168119349509</c:v>
                </c:pt>
                <c:pt idx="1">
                  <c:v>75.448990557580402</c:v>
                </c:pt>
                <c:pt idx="2">
                  <c:v>68.38288355216612</c:v>
                </c:pt>
                <c:pt idx="3">
                  <c:v>67.119938002127896</c:v>
                </c:pt>
                <c:pt idx="4">
                  <c:v>67.38140884353281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8-4626-9E8A-3B9AD3A19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44239"/>
        <c:axId val="1132839919"/>
      </c:barChart>
      <c:catAx>
        <c:axId val="11328442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919"/>
        <c:crosses val="autoZero"/>
        <c:auto val="1"/>
        <c:lblAlgn val="ctr"/>
        <c:lblOffset val="100"/>
        <c:noMultiLvlLbl val="0"/>
      </c:catAx>
      <c:valAx>
        <c:axId val="113283991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 baseline="0"/>
                  <a:t>Heart rate </a:t>
                </a:r>
                <a:r>
                  <a:rPr lang="fr-FR" b="1"/>
                  <a:t>(bpm)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Pressure!$AG$2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plus>
            <c:minus>
              <c:numRef>
                <c:f>Pressure!$AH$4:$AK$4</c:f>
                <c:numCache>
                  <c:formatCode>General</c:formatCode>
                  <c:ptCount val="4"/>
                  <c:pt idx="0">
                    <c:v>13.34434069452025</c:v>
                  </c:pt>
                  <c:pt idx="1">
                    <c:v>15.450203597648528</c:v>
                  </c:pt>
                  <c:pt idx="2">
                    <c:v>13.771486708189721</c:v>
                  </c:pt>
                  <c:pt idx="3">
                    <c:v>13.319612903988125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Pressure!$AH$2:$AK$2</c:f>
              <c:numCache>
                <c:formatCode>0.00</c:formatCode>
                <c:ptCount val="4"/>
                <c:pt idx="0">
                  <c:v>120.92857142857143</c:v>
                </c:pt>
                <c:pt idx="1">
                  <c:v>120.64285714285714</c:v>
                </c:pt>
                <c:pt idx="2">
                  <c:v>119.5</c:v>
                </c:pt>
                <c:pt idx="3">
                  <c:v>120.21428571428571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A-4B7D-BBB0-5989BB8CF935}"/>
            </c:ext>
          </c:extLst>
        </c:ser>
        <c:ser>
          <c:idx val="1"/>
          <c:order val="1"/>
          <c:tx>
            <c:strRef>
              <c:f>Pressure!$AG$3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plus>
            <c:minus>
              <c:numRef>
                <c:f>Pressure!$AH$5:$AK$5</c:f>
                <c:numCache>
                  <c:formatCode>General</c:formatCode>
                  <c:ptCount val="4"/>
                  <c:pt idx="0">
                    <c:v>14.071247279470288</c:v>
                  </c:pt>
                  <c:pt idx="1">
                    <c:v>19.663417810746939</c:v>
                  </c:pt>
                  <c:pt idx="2">
                    <c:v>18.381149764545924</c:v>
                  </c:pt>
                  <c:pt idx="3">
                    <c:v>17.793140063893539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Pressure!$AH$1:$AK$1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Pressure!$AH$3:$AK$3</c:f>
              <c:numCache>
                <c:formatCode>0.00</c:formatCode>
                <c:ptCount val="4"/>
                <c:pt idx="0">
                  <c:v>122.5</c:v>
                </c:pt>
                <c:pt idx="1">
                  <c:v>124.375</c:v>
                </c:pt>
                <c:pt idx="2">
                  <c:v>124.5</c:v>
                </c:pt>
                <c:pt idx="3">
                  <c:v>125.9375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9A-4B7D-BBB0-5989BB8CF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Systolic</a:t>
                </a:r>
                <a:r>
                  <a:rPr lang="fr-FR" b="1" baseline="0"/>
                  <a:t> b</a:t>
                </a:r>
                <a:r>
                  <a:rPr lang="fr-FR" b="1"/>
                  <a:t>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8401195084649988E-2"/>
          <c:y val="2.8648229390298652E-2"/>
          <c:w val="0.81800334353855553"/>
          <c:h val="0.716051646301802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Pressure!$AM$2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plus>
            <c:minus>
              <c:numRef>
                <c:f>Pressure!$AN$4:$AQ$4</c:f>
                <c:numCache>
                  <c:formatCode>General</c:formatCode>
                  <c:ptCount val="4"/>
                  <c:pt idx="0">
                    <c:v>10.174305063073538</c:v>
                  </c:pt>
                  <c:pt idx="1">
                    <c:v>9.6373814326880503</c:v>
                  </c:pt>
                  <c:pt idx="2">
                    <c:v>8.9393561240219128</c:v>
                  </c:pt>
                  <c:pt idx="3">
                    <c:v>8.3957734002896451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Pressure!$AN$2:$AQ$2</c:f>
              <c:numCache>
                <c:formatCode>0.00</c:formatCode>
                <c:ptCount val="4"/>
                <c:pt idx="0">
                  <c:v>73.142857142857139</c:v>
                </c:pt>
                <c:pt idx="1">
                  <c:v>72.571428571428569</c:v>
                </c:pt>
                <c:pt idx="2">
                  <c:v>75.714285714285708</c:v>
                </c:pt>
                <c:pt idx="3">
                  <c:v>75.214285714285708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6-4434-9689-1438A83250FC}"/>
            </c:ext>
          </c:extLst>
        </c:ser>
        <c:ser>
          <c:idx val="1"/>
          <c:order val="1"/>
          <c:tx>
            <c:strRef>
              <c:f>Pressure!$AM$3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plus>
            <c:minus>
              <c:numRef>
                <c:f>Pressure!$AN$5:$AQ$5</c:f>
                <c:numCache>
                  <c:formatCode>General</c:formatCode>
                  <c:ptCount val="4"/>
                  <c:pt idx="0">
                    <c:v>7.1355915428692152</c:v>
                  </c:pt>
                  <c:pt idx="1">
                    <c:v>6.6319931644516439</c:v>
                  </c:pt>
                  <c:pt idx="2">
                    <c:v>9.25</c:v>
                  </c:pt>
                  <c:pt idx="3">
                    <c:v>7.9655508284110521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Pressure!$AN$1:$AQ$1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Pressure!$AN$3:$AQ$3</c:f>
              <c:numCache>
                <c:formatCode>0.00</c:formatCode>
                <c:ptCount val="4"/>
                <c:pt idx="0">
                  <c:v>74.625</c:v>
                </c:pt>
                <c:pt idx="1">
                  <c:v>75.875</c:v>
                </c:pt>
                <c:pt idx="2">
                  <c:v>75.6875</c:v>
                </c:pt>
                <c:pt idx="3">
                  <c:v>78.125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6-4434-9689-1438A8325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437823"/>
        <c:axId val="2119438303"/>
      </c:barChart>
      <c:catAx>
        <c:axId val="211943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8303"/>
        <c:crosses val="autoZero"/>
        <c:auto val="1"/>
        <c:lblAlgn val="ctr"/>
        <c:lblOffset val="100"/>
        <c:noMultiLvlLbl val="0"/>
      </c:catAx>
      <c:valAx>
        <c:axId val="2119438303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Diastolic blood pressure (mmHg)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211943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Respiration!$AA$2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plus>
            <c:minus>
              <c:numRef>
                <c:f>Respiration!$AB$4:$AI$4</c:f>
                <c:numCache>
                  <c:formatCode>General</c:formatCode>
                  <c:ptCount val="5"/>
                  <c:pt idx="0">
                    <c:v>2.6360559950029736</c:v>
                  </c:pt>
                  <c:pt idx="1">
                    <c:v>3.6329384468005874</c:v>
                  </c:pt>
                  <c:pt idx="2">
                    <c:v>5.1807123274488198</c:v>
                  </c:pt>
                  <c:pt idx="3">
                    <c:v>3.0246242160558801</c:v>
                  </c:pt>
                  <c:pt idx="4">
                    <c:v>3.0032948939090436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Respiration!$AB$2:$AI$2</c:f>
              <c:numCache>
                <c:formatCode>0.00</c:formatCode>
                <c:ptCount val="5"/>
                <c:pt idx="0">
                  <c:v>15.642857142857148</c:v>
                </c:pt>
                <c:pt idx="1">
                  <c:v>18.685714285714283</c:v>
                </c:pt>
                <c:pt idx="2">
                  <c:v>19.414285714285715</c:v>
                </c:pt>
                <c:pt idx="3">
                  <c:v>19.071428571428573</c:v>
                </c:pt>
                <c:pt idx="4">
                  <c:v>16.88571428571429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9E-44EF-944B-A89BD58CEB06}"/>
            </c:ext>
          </c:extLst>
        </c:ser>
        <c:ser>
          <c:idx val="1"/>
          <c:order val="1"/>
          <c:tx>
            <c:strRef>
              <c:f>Respiration!$AA$3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plus>
            <c:minus>
              <c:numRef>
                <c:f>Respiration!$AB$5:$AI$5</c:f>
                <c:numCache>
                  <c:formatCode>General</c:formatCode>
                  <c:ptCount val="5"/>
                  <c:pt idx="0">
                    <c:v>3.4517386923114399</c:v>
                  </c:pt>
                  <c:pt idx="1">
                    <c:v>4.5054041624106036</c:v>
                  </c:pt>
                  <c:pt idx="2">
                    <c:v>4.2057104037249129</c:v>
                  </c:pt>
                  <c:pt idx="3">
                    <c:v>2.7339531817498277</c:v>
                  </c:pt>
                  <c:pt idx="4">
                    <c:v>2.5159491250818267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Respiration!$AB$1:$AI$1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Respiration!$AB$3:$AI$3</c:f>
              <c:numCache>
                <c:formatCode>0.00</c:formatCode>
                <c:ptCount val="5"/>
                <c:pt idx="0">
                  <c:v>16.912500000000001</c:v>
                </c:pt>
                <c:pt idx="1">
                  <c:v>21.2</c:v>
                </c:pt>
                <c:pt idx="2">
                  <c:v>18.75</c:v>
                </c:pt>
                <c:pt idx="3">
                  <c:v>17.8125</c:v>
                </c:pt>
                <c:pt idx="4">
                  <c:v>16.274999999999999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9E-44EF-944B-A89BD58C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5018543"/>
        <c:axId val="345002703"/>
      </c:barChart>
      <c:catAx>
        <c:axId val="345018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02703"/>
        <c:crosses val="autoZero"/>
        <c:auto val="1"/>
        <c:lblAlgn val="ctr"/>
        <c:lblOffset val="100"/>
        <c:noMultiLvlLbl val="0"/>
      </c:catAx>
      <c:valAx>
        <c:axId val="345002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b="1"/>
                  <a:t>Respiratory rate (</a:t>
                </a:r>
                <a:r>
                  <a:rPr lang="fr-FR" sz="1100" b="1" i="0" u="none" strike="noStrike" baseline="0"/>
                  <a:t>breaths/min</a:t>
                </a:r>
                <a:r>
                  <a:rPr lang="fr-FR" b="1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345018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Mydriasis!$AA$2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Mydriasis!$AB$4:$AI$4</c:f>
                <c:numCache>
                  <c:formatCode>General</c:formatCode>
                  <c:ptCount val="5"/>
                  <c:pt idx="0">
                    <c:v>0.67719565565938677</c:v>
                  </c:pt>
                  <c:pt idx="1">
                    <c:v>0.66842423997859735</c:v>
                  </c:pt>
                  <c:pt idx="2">
                    <c:v>0.70492147485679679</c:v>
                  </c:pt>
                  <c:pt idx="3">
                    <c:v>0.65453657794514242</c:v>
                  </c:pt>
                  <c:pt idx="4">
                    <c:v>0.62125006909589064</c:v>
                  </c:pt>
                </c:numCache>
              </c:numRef>
            </c:plus>
            <c:minus>
              <c:numRef>
                <c:f>Mydriasis!$AB$4:$AI$4</c:f>
                <c:numCache>
                  <c:formatCode>General</c:formatCode>
                  <c:ptCount val="5"/>
                  <c:pt idx="0">
                    <c:v>0.67719565565938677</c:v>
                  </c:pt>
                  <c:pt idx="1">
                    <c:v>0.66842423997859735</c:v>
                  </c:pt>
                  <c:pt idx="2">
                    <c:v>0.70492147485679679</c:v>
                  </c:pt>
                  <c:pt idx="3">
                    <c:v>0.65453657794514242</c:v>
                  </c:pt>
                  <c:pt idx="4">
                    <c:v>0.62125006909589064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Mydriasis!$AB$2:$AI$2</c:f>
              <c:numCache>
                <c:formatCode>0.00</c:formatCode>
                <c:ptCount val="5"/>
                <c:pt idx="0">
                  <c:v>3.8035714285714297</c:v>
                </c:pt>
                <c:pt idx="1">
                  <c:v>4.0914285714285707</c:v>
                </c:pt>
                <c:pt idx="2">
                  <c:v>3.7771428571428571</c:v>
                </c:pt>
                <c:pt idx="3">
                  <c:v>3.8178571428571422</c:v>
                </c:pt>
                <c:pt idx="4">
                  <c:v>3.8814285714285712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55-4E94-810F-C74C0EBD8359}"/>
            </c:ext>
          </c:extLst>
        </c:ser>
        <c:ser>
          <c:idx val="1"/>
          <c:order val="1"/>
          <c:tx>
            <c:strRef>
              <c:f>Mydriasis!$AA$3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Mydriasis!$AB$5:$AI$5</c:f>
                <c:numCache>
                  <c:formatCode>General</c:formatCode>
                  <c:ptCount val="5"/>
                  <c:pt idx="0">
                    <c:v>0.65658713562380022</c:v>
                  </c:pt>
                  <c:pt idx="1">
                    <c:v>0.74075837016058399</c:v>
                  </c:pt>
                  <c:pt idx="2">
                    <c:v>0.57929231251012914</c:v>
                  </c:pt>
                  <c:pt idx="3">
                    <c:v>0.68820751473180652</c:v>
                  </c:pt>
                  <c:pt idx="4">
                    <c:v>0.6840748009781803</c:v>
                  </c:pt>
                </c:numCache>
              </c:numRef>
            </c:plus>
            <c:minus>
              <c:numRef>
                <c:f>Mydriasis!$AB$5:$AI$5</c:f>
                <c:numCache>
                  <c:formatCode>General</c:formatCode>
                  <c:ptCount val="5"/>
                  <c:pt idx="0">
                    <c:v>0.65658713562380022</c:v>
                  </c:pt>
                  <c:pt idx="1">
                    <c:v>0.74075837016058399</c:v>
                  </c:pt>
                  <c:pt idx="2">
                    <c:v>0.57929231251012914</c:v>
                  </c:pt>
                  <c:pt idx="3">
                    <c:v>0.68820751473180652</c:v>
                  </c:pt>
                  <c:pt idx="4">
                    <c:v>0.6840748009781803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Mydriasis!$AB$1:$AI$1</c:f>
              <c:strCache>
                <c:ptCount val="5"/>
                <c:pt idx="0">
                  <c:v>Baseline</c:v>
                </c:pt>
                <c:pt idx="1">
                  <c:v>Mean Stroop </c:v>
                </c:pt>
                <c:pt idx="2">
                  <c:v>Post</c:v>
                </c:pt>
                <c:pt idx="3">
                  <c:v>Post 10 min</c:v>
                </c:pt>
                <c:pt idx="4">
                  <c:v>Post 20 min</c:v>
                </c:pt>
              </c:strCache>
            </c:strRef>
          </c:cat>
          <c:val>
            <c:numRef>
              <c:f>Mydriasis!$AB$3:$AI$3</c:f>
              <c:numCache>
                <c:formatCode>0.00</c:formatCode>
                <c:ptCount val="5"/>
                <c:pt idx="0">
                  <c:v>3.65</c:v>
                </c:pt>
                <c:pt idx="1">
                  <c:v>4.3016666666666667</c:v>
                </c:pt>
                <c:pt idx="2">
                  <c:v>3.7093750000000001</c:v>
                </c:pt>
                <c:pt idx="3">
                  <c:v>3.7318750000000005</c:v>
                </c:pt>
                <c:pt idx="4">
                  <c:v>3.6637499999999994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55-4E94-810F-C74C0EBD8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39439"/>
        <c:axId val="1132841839"/>
      </c:barChart>
      <c:catAx>
        <c:axId val="113283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1839"/>
        <c:crosses val="autoZero"/>
        <c:auto val="1"/>
        <c:lblAlgn val="ctr"/>
        <c:lblOffset val="100"/>
        <c:noMultiLvlLbl val="0"/>
      </c:catAx>
      <c:valAx>
        <c:axId val="11328418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Pupil Dilation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Mydriasis!$AA$2</c:f>
              <c:strCache>
                <c:ptCount val="1"/>
                <c:pt idx="0">
                  <c:v>G-trad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Mydriasis!$AL$4:$AN$4</c:f>
                <c:numCache>
                  <c:formatCode>General</c:formatCode>
                  <c:ptCount val="3"/>
                  <c:pt idx="0">
                    <c:v>0.70973644698284211</c:v>
                  </c:pt>
                  <c:pt idx="1">
                    <c:v>0.63110621526416244</c:v>
                  </c:pt>
                  <c:pt idx="2">
                    <c:v>0.68212015956715155</c:v>
                  </c:pt>
                </c:numCache>
              </c:numRef>
            </c:plus>
            <c:minus>
              <c:numRef>
                <c:f>Mydriasis!$AL$4:$AN$4</c:f>
                <c:numCache>
                  <c:formatCode>General</c:formatCode>
                  <c:ptCount val="3"/>
                  <c:pt idx="0">
                    <c:v>0.70973644698284211</c:v>
                  </c:pt>
                  <c:pt idx="1">
                    <c:v>0.63110621526416244</c:v>
                  </c:pt>
                  <c:pt idx="2">
                    <c:v>0.68212015956715155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Mydriasis!$AL$1:$AN$1</c:f>
              <c:strCache>
                <c:ptCount val="3"/>
                <c:pt idx="0">
                  <c:v>Stroop 1</c:v>
                </c:pt>
                <c:pt idx="1">
                  <c:v>Stroop 2</c:v>
                </c:pt>
                <c:pt idx="2">
                  <c:v>Stroop 3</c:v>
                </c:pt>
              </c:strCache>
            </c:strRef>
          </c:cat>
          <c:val>
            <c:numRef>
              <c:f>Mydriasis!$AL$2:$AN$2</c:f>
              <c:numCache>
                <c:formatCode>0.00</c:formatCode>
                <c:ptCount val="3"/>
                <c:pt idx="0">
                  <c:v>4.157857142857142</c:v>
                </c:pt>
                <c:pt idx="1">
                  <c:v>4.0821428571428573</c:v>
                </c:pt>
                <c:pt idx="2">
                  <c:v>4.0342857142857138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8-4E77-8F67-D244BCC7A31E}"/>
            </c:ext>
          </c:extLst>
        </c:ser>
        <c:ser>
          <c:idx val="1"/>
          <c:order val="1"/>
          <c:tx>
            <c:strRef>
              <c:f>Mydriasis!$AA$3</c:f>
              <c:strCache>
                <c:ptCount val="1"/>
                <c:pt idx="0">
                  <c:v>G-comp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Mydriasis!$AL$5:$AN$5</c:f>
                <c:numCache>
                  <c:formatCode>General</c:formatCode>
                  <c:ptCount val="3"/>
                  <c:pt idx="0">
                    <c:v>0.72901960421743239</c:v>
                  </c:pt>
                  <c:pt idx="1">
                    <c:v>0.75299596059120044</c:v>
                  </c:pt>
                  <c:pt idx="2">
                    <c:v>0.78227567908969298</c:v>
                  </c:pt>
                </c:numCache>
              </c:numRef>
            </c:plus>
            <c:minus>
              <c:numRef>
                <c:f>Mydriasis!$AL$5:$AN$5</c:f>
                <c:numCache>
                  <c:formatCode>General</c:formatCode>
                  <c:ptCount val="3"/>
                  <c:pt idx="0">
                    <c:v>0.72901960421743239</c:v>
                  </c:pt>
                  <c:pt idx="1">
                    <c:v>0.75299596059120044</c:v>
                  </c:pt>
                  <c:pt idx="2">
                    <c:v>0.78227567908969298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Mydriasis!$AL$1:$AN$1</c:f>
              <c:strCache>
                <c:ptCount val="3"/>
                <c:pt idx="0">
                  <c:v>Stroop 1</c:v>
                </c:pt>
                <c:pt idx="1">
                  <c:v>Stroop 2</c:v>
                </c:pt>
                <c:pt idx="2">
                  <c:v>Stroop 3</c:v>
                </c:pt>
              </c:strCache>
            </c:strRef>
          </c:cat>
          <c:val>
            <c:numRef>
              <c:f>Mydriasis!$AL$3:$AN$3</c:f>
              <c:numCache>
                <c:formatCode>0.00</c:formatCode>
                <c:ptCount val="3"/>
                <c:pt idx="0">
                  <c:v>4.3781249999999989</c:v>
                </c:pt>
                <c:pt idx="1">
                  <c:v>4.2681250000000004</c:v>
                </c:pt>
                <c:pt idx="2">
                  <c:v>4.245333333333333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8-4E77-8F67-D244BCC7A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839439"/>
        <c:axId val="1132841839"/>
      </c:barChart>
      <c:catAx>
        <c:axId val="1132839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41839"/>
        <c:crosses val="autoZero"/>
        <c:auto val="1"/>
        <c:lblAlgn val="ctr"/>
        <c:lblOffset val="100"/>
        <c:noMultiLvlLbl val="0"/>
      </c:catAx>
      <c:valAx>
        <c:axId val="1132841839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Pupil Dilation (mm)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132839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Saliva!$M$2</c:f>
              <c:strCache>
                <c:ptCount val="1"/>
                <c:pt idx="0">
                  <c:v>G-trad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Saliva!$M$18:$P$18</c:f>
                <c:numCache>
                  <c:formatCode>General</c:formatCode>
                  <c:ptCount val="4"/>
                  <c:pt idx="0">
                    <c:v>0.79831553430187774</c:v>
                  </c:pt>
                  <c:pt idx="1">
                    <c:v>0.69383734146430587</c:v>
                  </c:pt>
                  <c:pt idx="2">
                    <c:v>0.69457605590453209</c:v>
                  </c:pt>
                  <c:pt idx="3">
                    <c:v>0.60160042962341387</c:v>
                  </c:pt>
                </c:numCache>
              </c:numRef>
            </c:plus>
            <c:minus>
              <c:numRef>
                <c:f>Saliva!$M$18:$P$18</c:f>
                <c:numCache>
                  <c:formatCode>General</c:formatCode>
                  <c:ptCount val="4"/>
                  <c:pt idx="0">
                    <c:v>0.79831553430187774</c:v>
                  </c:pt>
                  <c:pt idx="1">
                    <c:v>0.69383734146430587</c:v>
                  </c:pt>
                  <c:pt idx="2">
                    <c:v>0.69457605590453209</c:v>
                  </c:pt>
                  <c:pt idx="3">
                    <c:v>0.60160042962341387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Saliva!$S$3:$V$3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Saliva!$M$17:$P$17</c:f>
              <c:numCache>
                <c:formatCode>0.0</c:formatCode>
                <c:ptCount val="4"/>
                <c:pt idx="0">
                  <c:v>1.7692307692307692</c:v>
                </c:pt>
                <c:pt idx="1">
                  <c:v>1.8153846153846156</c:v>
                </c:pt>
                <c:pt idx="2">
                  <c:v>2.1076923076923082</c:v>
                </c:pt>
                <c:pt idx="3">
                  <c:v>2.1230769230769231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9-4C0F-BA67-B70BD9FF7783}"/>
            </c:ext>
          </c:extLst>
        </c:ser>
        <c:ser>
          <c:idx val="1"/>
          <c:order val="1"/>
          <c:tx>
            <c:strRef>
              <c:f>Saliva!$S$2:$V$2</c:f>
              <c:strCache>
                <c:ptCount val="4"/>
                <c:pt idx="0">
                  <c:v>G-comp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Saliva!$S$21:$V$21</c:f>
                <c:numCache>
                  <c:formatCode>General</c:formatCode>
                  <c:ptCount val="4"/>
                  <c:pt idx="0">
                    <c:v>0.62915286960589545</c:v>
                  </c:pt>
                  <c:pt idx="1">
                    <c:v>0.80205465316689017</c:v>
                  </c:pt>
                  <c:pt idx="2">
                    <c:v>0.9724325169388397</c:v>
                  </c:pt>
                  <c:pt idx="3">
                    <c:v>0.94154128958851135</c:v>
                  </c:pt>
                </c:numCache>
              </c:numRef>
            </c:plus>
            <c:minus>
              <c:numRef>
                <c:f>Saliva!$S$21:$V$21</c:f>
                <c:numCache>
                  <c:formatCode>General</c:formatCode>
                  <c:ptCount val="4"/>
                  <c:pt idx="0">
                    <c:v>0.62915286960589545</c:v>
                  </c:pt>
                  <c:pt idx="1">
                    <c:v>0.80205465316689017</c:v>
                  </c:pt>
                  <c:pt idx="2">
                    <c:v>0.9724325169388397</c:v>
                  </c:pt>
                  <c:pt idx="3">
                    <c:v>0.94154128958851135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Saliva!$S$3:$V$3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Saliva!$S$20:$V$20</c:f>
              <c:numCache>
                <c:formatCode>0.0</c:formatCode>
                <c:ptCount val="4"/>
                <c:pt idx="0">
                  <c:v>1.8875000000000004</c:v>
                </c:pt>
                <c:pt idx="1">
                  <c:v>3.8937500000000007</c:v>
                </c:pt>
                <c:pt idx="2">
                  <c:v>5.1187499999999995</c:v>
                </c:pt>
                <c:pt idx="3">
                  <c:v>4.8125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39-4C0F-BA67-B70BD9FF7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784512"/>
        <c:axId val="1386784992"/>
      </c:lineChart>
      <c:catAx>
        <c:axId val="13867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992"/>
        <c:crosses val="autoZero"/>
        <c:auto val="1"/>
        <c:lblAlgn val="ctr"/>
        <c:lblOffset val="100"/>
        <c:noMultiLvlLbl val="0"/>
      </c:catAx>
      <c:valAx>
        <c:axId val="138678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Cortisol (ng/mL)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Saliva!$Y$2</c:f>
              <c:strCache>
                <c:ptCount val="1"/>
                <c:pt idx="0">
                  <c:v>G-trad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Saliva!$Y$18:$AB$18</c:f>
                <c:numCache>
                  <c:formatCode>General</c:formatCode>
                  <c:ptCount val="4"/>
                  <c:pt idx="0">
                    <c:v>6.5670701424920273</c:v>
                  </c:pt>
                  <c:pt idx="1">
                    <c:v>6.0731861278565908</c:v>
                  </c:pt>
                  <c:pt idx="2">
                    <c:v>3.442773926311792</c:v>
                  </c:pt>
                  <c:pt idx="3">
                    <c:v>9.119351079027723</c:v>
                  </c:pt>
                </c:numCache>
              </c:numRef>
            </c:plus>
            <c:minus>
              <c:numRef>
                <c:f>Saliva!$Y$18:$AB$18</c:f>
                <c:numCache>
                  <c:formatCode>General</c:formatCode>
                  <c:ptCount val="4"/>
                  <c:pt idx="0">
                    <c:v>6.5670701424920273</c:v>
                  </c:pt>
                  <c:pt idx="1">
                    <c:v>6.0731861278565908</c:v>
                  </c:pt>
                  <c:pt idx="2">
                    <c:v>3.442773926311792</c:v>
                  </c:pt>
                  <c:pt idx="3">
                    <c:v>9.119351079027723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Saliva!$AE$3:$AH$3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Saliva!$Y$17:$AB$17</c:f>
              <c:numCache>
                <c:formatCode>0.0</c:formatCode>
                <c:ptCount val="4"/>
                <c:pt idx="0">
                  <c:v>67.284615384615392</c:v>
                </c:pt>
                <c:pt idx="1">
                  <c:v>72.023076923076914</c:v>
                </c:pt>
                <c:pt idx="2">
                  <c:v>83.553846153846138</c:v>
                </c:pt>
                <c:pt idx="3">
                  <c:v>90.638461538461542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44-40F8-85D1-F8E87FA947EF}"/>
            </c:ext>
          </c:extLst>
        </c:ser>
        <c:ser>
          <c:idx val="1"/>
          <c:order val="1"/>
          <c:tx>
            <c:strRef>
              <c:f>Saliva!$AE$2</c:f>
              <c:strCache>
                <c:ptCount val="1"/>
                <c:pt idx="0">
                  <c:v>G-comp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Saliva!$AE$21:$AH$21</c:f>
                <c:numCache>
                  <c:formatCode>General</c:formatCode>
                  <c:ptCount val="4"/>
                  <c:pt idx="0">
                    <c:v>7.0500000000000007</c:v>
                  </c:pt>
                  <c:pt idx="1">
                    <c:v>8.1185974773971914</c:v>
                  </c:pt>
                  <c:pt idx="2">
                    <c:v>6.5354290856326571</c:v>
                  </c:pt>
                  <c:pt idx="3">
                    <c:v>7.4263466792225614</c:v>
                  </c:pt>
                </c:numCache>
              </c:numRef>
            </c:plus>
            <c:minus>
              <c:numRef>
                <c:f>Saliva!$AE$21:$AH$21</c:f>
                <c:numCache>
                  <c:formatCode>General</c:formatCode>
                  <c:ptCount val="4"/>
                  <c:pt idx="0">
                    <c:v>7.0500000000000007</c:v>
                  </c:pt>
                  <c:pt idx="1">
                    <c:v>8.1185974773971914</c:v>
                  </c:pt>
                  <c:pt idx="2">
                    <c:v>6.5354290856326571</c:v>
                  </c:pt>
                  <c:pt idx="3">
                    <c:v>7.4263466792225614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Saliva!$AE$3:$AH$3</c:f>
              <c:strCache>
                <c:ptCount val="4"/>
                <c:pt idx="0">
                  <c:v>Baseline</c:v>
                </c:pt>
                <c:pt idx="1">
                  <c:v>Post</c:v>
                </c:pt>
                <c:pt idx="2">
                  <c:v>Post 10 min</c:v>
                </c:pt>
                <c:pt idx="3">
                  <c:v>Post 20 min</c:v>
                </c:pt>
              </c:strCache>
            </c:strRef>
          </c:cat>
          <c:val>
            <c:numRef>
              <c:f>Saliva!$AE$20:$AH$20</c:f>
              <c:numCache>
                <c:formatCode>0.0</c:formatCode>
                <c:ptCount val="4"/>
                <c:pt idx="0">
                  <c:v>70.462499999999991</c:v>
                </c:pt>
                <c:pt idx="1">
                  <c:v>79.96875</c:v>
                </c:pt>
                <c:pt idx="2">
                  <c:v>130.26249999999999</c:v>
                </c:pt>
                <c:pt idx="3">
                  <c:v>119.24374999999999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44-40F8-85D1-F8E87FA94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6784512"/>
        <c:axId val="1386784992"/>
      </c:lineChart>
      <c:catAx>
        <c:axId val="13867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992"/>
        <c:crosses val="autoZero"/>
        <c:auto val="1"/>
        <c:lblAlgn val="ctr"/>
        <c:lblOffset val="100"/>
        <c:noMultiLvlLbl val="0"/>
      </c:catAx>
      <c:valAx>
        <c:axId val="138678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α-</a:t>
                </a:r>
                <a:r>
                  <a:rPr lang="fr-FR"/>
                  <a:t>amylase (U/mL)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1386784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209827</xdr:colOff>
      <xdr:row>6</xdr:row>
      <xdr:rowOff>168966</xdr:rowOff>
    </xdr:from>
    <xdr:to>
      <xdr:col>28</xdr:col>
      <xdr:colOff>77305</xdr:colOff>
      <xdr:row>21</xdr:row>
      <xdr:rowOff>96079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392C03D-B035-AEB5-FD25-75011B6CA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679739</xdr:colOff>
      <xdr:row>7</xdr:row>
      <xdr:rowOff>866</xdr:rowOff>
    </xdr:from>
    <xdr:to>
      <xdr:col>37</xdr:col>
      <xdr:colOff>523875</xdr:colOff>
      <xdr:row>22</xdr:row>
      <xdr:rowOff>16452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64BDDE8-D896-A412-6829-67AA4C3CA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0</xdr:colOff>
      <xdr:row>7</xdr:row>
      <xdr:rowOff>0</xdr:rowOff>
    </xdr:from>
    <xdr:to>
      <xdr:col>43</xdr:col>
      <xdr:colOff>632113</xdr:colOff>
      <xdr:row>22</xdr:row>
      <xdr:rowOff>15586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C408E262-319B-4A6E-93BB-E22D9A726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0</xdr:colOff>
      <xdr:row>9</xdr:row>
      <xdr:rowOff>0</xdr:rowOff>
    </xdr:from>
    <xdr:to>
      <xdr:col>76</xdr:col>
      <xdr:colOff>637082</xdr:colOff>
      <xdr:row>23</xdr:row>
      <xdr:rowOff>119921</xdr:rowOff>
    </xdr:to>
    <xdr:graphicFrame macro="">
      <xdr:nvGraphicFramePr>
        <xdr:cNvPr id="28" name="Graphique 27">
          <a:extLst>
            <a:ext uri="{FF2B5EF4-FFF2-40B4-BE49-F238E27FC236}">
              <a16:creationId xmlns:a16="http://schemas.microsoft.com/office/drawing/2014/main" id="{1525D0F5-B144-4FF9-94FD-14694D98F7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24</xdr:row>
      <xdr:rowOff>0</xdr:rowOff>
    </xdr:from>
    <xdr:to>
      <xdr:col>76</xdr:col>
      <xdr:colOff>671655</xdr:colOff>
      <xdr:row>38</xdr:row>
      <xdr:rowOff>135310</xdr:rowOff>
    </xdr:to>
    <xdr:graphicFrame macro="">
      <xdr:nvGraphicFramePr>
        <xdr:cNvPr id="29" name="Graphique 28">
          <a:extLst>
            <a:ext uri="{FF2B5EF4-FFF2-40B4-BE49-F238E27FC236}">
              <a16:creationId xmlns:a16="http://schemas.microsoft.com/office/drawing/2014/main" id="{533EE02D-FCFA-4A61-B715-8EC8E560F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77</xdr:col>
      <xdr:colOff>0</xdr:colOff>
      <xdr:row>24</xdr:row>
      <xdr:rowOff>0</xdr:rowOff>
    </xdr:from>
    <xdr:to>
      <xdr:col>85</xdr:col>
      <xdr:colOff>671653</xdr:colOff>
      <xdr:row>38</xdr:row>
      <xdr:rowOff>135310</xdr:rowOff>
    </xdr:to>
    <xdr:graphicFrame macro="">
      <xdr:nvGraphicFramePr>
        <xdr:cNvPr id="30" name="Graphique 29">
          <a:extLst>
            <a:ext uri="{FF2B5EF4-FFF2-40B4-BE49-F238E27FC236}">
              <a16:creationId xmlns:a16="http://schemas.microsoft.com/office/drawing/2014/main" id="{166C286E-E707-459A-BC94-80D0CA156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0</xdr:colOff>
      <xdr:row>9</xdr:row>
      <xdr:rowOff>0</xdr:rowOff>
    </xdr:from>
    <xdr:to>
      <xdr:col>85</xdr:col>
      <xdr:colOff>671653</xdr:colOff>
      <xdr:row>23</xdr:row>
      <xdr:rowOff>135311</xdr:rowOff>
    </xdr:to>
    <xdr:graphicFrame macro="">
      <xdr:nvGraphicFramePr>
        <xdr:cNvPr id="31" name="Graphique 30">
          <a:extLst>
            <a:ext uri="{FF2B5EF4-FFF2-40B4-BE49-F238E27FC236}">
              <a16:creationId xmlns:a16="http://schemas.microsoft.com/office/drawing/2014/main" id="{1D9B6121-1DC9-43CD-8634-BBCF99630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68</xdr:col>
      <xdr:colOff>0</xdr:colOff>
      <xdr:row>39</xdr:row>
      <xdr:rowOff>866</xdr:rowOff>
    </xdr:from>
    <xdr:to>
      <xdr:col>76</xdr:col>
      <xdr:colOff>656166</xdr:colOff>
      <xdr:row>54</xdr:row>
      <xdr:rowOff>45316</xdr:rowOff>
    </xdr:to>
    <xdr:graphicFrame macro="">
      <xdr:nvGraphicFramePr>
        <xdr:cNvPr id="32" name="Graphique 31">
          <a:extLst>
            <a:ext uri="{FF2B5EF4-FFF2-40B4-BE49-F238E27FC236}">
              <a16:creationId xmlns:a16="http://schemas.microsoft.com/office/drawing/2014/main" id="{329ACC12-26A7-455A-830C-6965DA6F9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77</xdr:col>
      <xdr:colOff>0</xdr:colOff>
      <xdr:row>39</xdr:row>
      <xdr:rowOff>0</xdr:rowOff>
    </xdr:from>
    <xdr:to>
      <xdr:col>85</xdr:col>
      <xdr:colOff>655972</xdr:colOff>
      <xdr:row>54</xdr:row>
      <xdr:rowOff>44450</xdr:rowOff>
    </xdr:to>
    <xdr:graphicFrame macro="">
      <xdr:nvGraphicFramePr>
        <xdr:cNvPr id="34" name="Graphique 33">
          <a:extLst>
            <a:ext uri="{FF2B5EF4-FFF2-40B4-BE49-F238E27FC236}">
              <a16:creationId xmlns:a16="http://schemas.microsoft.com/office/drawing/2014/main" id="{F737C806-F354-466B-90A8-8B08BC233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201706</xdr:colOff>
      <xdr:row>6</xdr:row>
      <xdr:rowOff>85165</xdr:rowOff>
    </xdr:from>
    <xdr:to>
      <xdr:col>35</xdr:col>
      <xdr:colOff>40341</xdr:colOff>
      <xdr:row>21</xdr:row>
      <xdr:rowOff>31377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F0AF57-E801-D40F-39A2-1E2BF2AF5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150338</xdr:colOff>
      <xdr:row>6</xdr:row>
      <xdr:rowOff>96213</xdr:rowOff>
    </xdr:from>
    <xdr:to>
      <xdr:col>34</xdr:col>
      <xdr:colOff>756086</xdr:colOff>
      <xdr:row>21</xdr:row>
      <xdr:rowOff>5725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759A07D-27D5-5F0F-9299-C8E4E076A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35</xdr:col>
      <xdr:colOff>704850</xdr:colOff>
      <xdr:row>6</xdr:row>
      <xdr:rowOff>38100</xdr:rowOff>
    </xdr:from>
    <xdr:to>
      <xdr:col>41</xdr:col>
      <xdr:colOff>525738</xdr:colOff>
      <xdr:row>20</xdr:row>
      <xdr:rowOff>132397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A16C0AB-19CF-4A09-9BCE-C2D53BEF46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32197</xdr:colOff>
      <xdr:row>20</xdr:row>
      <xdr:rowOff>125569</xdr:rowOff>
    </xdr:from>
    <xdr:to>
      <xdr:col>16</xdr:col>
      <xdr:colOff>633211</xdr:colOff>
      <xdr:row>35</xdr:row>
      <xdr:rowOff>132009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EF3AD11-DDCB-2216-404F-18A85C437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734786</xdr:colOff>
      <xdr:row>20</xdr:row>
      <xdr:rowOff>40821</xdr:rowOff>
    </xdr:from>
    <xdr:to>
      <xdr:col>28</xdr:col>
      <xdr:colOff>546585</xdr:colOff>
      <xdr:row>35</xdr:row>
      <xdr:rowOff>47260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016B8FA-CBF0-4883-9BD8-673165FB9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270191</xdr:colOff>
      <xdr:row>21</xdr:row>
      <xdr:rowOff>67633</xdr:rowOff>
    </xdr:from>
    <xdr:to>
      <xdr:col>13</xdr:col>
      <xdr:colOff>448235</xdr:colOff>
      <xdr:row>32</xdr:row>
      <xdr:rowOff>51610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85C4895-0E4C-AD42-1DD8-AB37ECF16680}"/>
            </a:ext>
          </a:extLst>
        </xdr:cNvPr>
        <xdr:cNvSpPr/>
      </xdr:nvSpPr>
      <xdr:spPr>
        <a:xfrm>
          <a:off x="9792937" y="4035444"/>
          <a:ext cx="971606" cy="2017480"/>
        </a:xfrm>
        <a:prstGeom prst="rect">
          <a:avLst/>
        </a:prstGeom>
        <a:solidFill>
          <a:srgbClr val="FF0000">
            <a:alpha val="2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12</xdr:col>
      <xdr:colOff>262850</xdr:colOff>
      <xdr:row>22</xdr:row>
      <xdr:rowOff>57446</xdr:rowOff>
    </xdr:from>
    <xdr:to>
      <xdr:col>13</xdr:col>
      <xdr:colOff>436341</xdr:colOff>
      <xdr:row>23</xdr:row>
      <xdr:rowOff>139391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330CA22-32D0-D4AA-CC32-8D62CD7D4AC4}"/>
            </a:ext>
          </a:extLst>
        </xdr:cNvPr>
        <xdr:cNvSpPr txBox="1"/>
      </xdr:nvSpPr>
      <xdr:spPr>
        <a:xfrm>
          <a:off x="9741387" y="4322787"/>
          <a:ext cx="963369" cy="26779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fr-FR" sz="1100" i="1">
              <a:latin typeface="Times New Roman" panose="02020603050405020304" pitchFamily="18" charset="0"/>
              <a:cs typeface="Times New Roman" panose="02020603050405020304" pitchFamily="18" charset="0"/>
            </a:rPr>
            <a:t>Stroop</a:t>
          </a:r>
          <a:r>
            <a:rPr lang="fr-FR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task</a:t>
          </a:r>
          <a:endParaRPr lang="fr-FR" sz="1100" i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0.25125</cdr:x>
      <cdr:y>0.03986</cdr:y>
    </cdr:from>
    <cdr:to>
      <cdr:x>0.45734</cdr:x>
      <cdr:y>0.77107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D85C4895-0E4C-AD42-1DD8-AB37ECF16680}"/>
            </a:ext>
          </a:extLst>
        </cdr:cNvPr>
        <cdr:cNvSpPr/>
      </cdr:nvSpPr>
      <cdr:spPr>
        <a:xfrm xmlns:a="http://schemas.openxmlformats.org/drawingml/2006/main">
          <a:off x="1145841" y="109764"/>
          <a:ext cx="939900" cy="2013325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20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0.24786</cdr:x>
      <cdr:y>0.1053</cdr:y>
    </cdr:from>
    <cdr:to>
      <cdr:x>0.4596</cdr:x>
      <cdr:y>0.19978</cdr:y>
    </cdr:to>
    <cdr:sp macro="" textlink="">
      <cdr:nvSpPr>
        <cdr:cNvPr id="3" name="ZoneTexte 4">
          <a:extLst xmlns:a="http://schemas.openxmlformats.org/drawingml/2006/main">
            <a:ext uri="{FF2B5EF4-FFF2-40B4-BE49-F238E27FC236}">
              <a16:creationId xmlns:a16="http://schemas.microsoft.com/office/drawing/2014/main" id="{0330CA22-32D0-D4AA-CC32-8D62CD7D4AC4}"/>
            </a:ext>
          </a:extLst>
        </cdr:cNvPr>
        <cdr:cNvSpPr txBox="1"/>
      </cdr:nvSpPr>
      <cdr:spPr>
        <a:xfrm xmlns:a="http://schemas.openxmlformats.org/drawingml/2006/main">
          <a:off x="1128027" y="294240"/>
          <a:ext cx="963643" cy="2640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>
            <a:alpha val="0"/>
          </a:schemeClr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fr-FR" sz="1100" i="1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Stroop</a:t>
          </a:r>
          <a:r>
            <a:rPr lang="fr-FR" sz="1100" i="1" baseline="0"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 task</a:t>
          </a:r>
          <a:endParaRPr lang="fr-FR" sz="1100" i="1">
            <a:latin typeface="Times New Roman" panose="02020603050405020304" pitchFamily="18" charset="0"/>
            <a:ea typeface="Tahoma" panose="020B0604030504040204" pitchFamily="34" charset="0"/>
            <a:cs typeface="Times New Roman" panose="02020603050405020304" pitchFamily="18" charset="0"/>
          </a:endParaRPr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8FDA-3FED-4FB1-BFB7-B5EFF21C3DAE}">
  <dimension ref="A1:X61"/>
  <sheetViews>
    <sheetView zoomScale="85" zoomScaleNormal="85" workbookViewId="0">
      <selection activeCell="O3" sqref="O3:O16"/>
    </sheetView>
  </sheetViews>
  <sheetFormatPr baseColWidth="10" defaultColWidth="11.44140625" defaultRowHeight="14.4" x14ac:dyDescent="0.3"/>
  <cols>
    <col min="22" max="22" width="23.5546875" bestFit="1" customWidth="1"/>
  </cols>
  <sheetData>
    <row r="1" spans="1:24" x14ac:dyDescent="0.3">
      <c r="A1" s="17"/>
      <c r="B1" s="14" t="s">
        <v>135</v>
      </c>
      <c r="C1" s="14" t="s">
        <v>1</v>
      </c>
      <c r="D1" s="14" t="s">
        <v>134</v>
      </c>
      <c r="E1" s="14" t="s">
        <v>2</v>
      </c>
      <c r="F1" s="14" t="s">
        <v>0</v>
      </c>
      <c r="I1" s="93" t="s">
        <v>136</v>
      </c>
      <c r="J1" s="93"/>
      <c r="K1" s="93"/>
      <c r="L1" s="93"/>
      <c r="M1" s="93"/>
      <c r="P1" s="93" t="s">
        <v>137</v>
      </c>
      <c r="Q1" s="93"/>
      <c r="R1" s="93"/>
      <c r="S1" s="93"/>
      <c r="T1" s="93"/>
      <c r="W1" s="3" t="s">
        <v>147</v>
      </c>
      <c r="X1" s="3" t="s">
        <v>148</v>
      </c>
    </row>
    <row r="2" spans="1:24" x14ac:dyDescent="0.3">
      <c r="A2" s="11" t="s">
        <v>3</v>
      </c>
      <c r="B2" s="12">
        <v>179</v>
      </c>
      <c r="C2" s="12">
        <v>31</v>
      </c>
      <c r="D2" s="12">
        <v>75</v>
      </c>
      <c r="E2" s="20">
        <f t="shared" ref="E2:E31" si="0">D2/(B2*0.01*B2*0.01)</f>
        <v>23.407509128928556</v>
      </c>
      <c r="F2" s="18">
        <v>19</v>
      </c>
      <c r="I2" s="14" t="s">
        <v>135</v>
      </c>
      <c r="J2" s="14" t="s">
        <v>1</v>
      </c>
      <c r="K2" s="14" t="s">
        <v>134</v>
      </c>
      <c r="L2" s="14" t="s">
        <v>2</v>
      </c>
      <c r="M2" s="14" t="s">
        <v>0</v>
      </c>
      <c r="P2" s="14" t="s">
        <v>135</v>
      </c>
      <c r="Q2" s="14" t="s">
        <v>1</v>
      </c>
      <c r="R2" s="14" t="s">
        <v>134</v>
      </c>
      <c r="S2" s="14" t="s">
        <v>2</v>
      </c>
      <c r="T2" s="14" t="s">
        <v>0</v>
      </c>
      <c r="V2" s="74" t="s">
        <v>135</v>
      </c>
      <c r="W2" s="8">
        <v>0.08</v>
      </c>
      <c r="X2" s="75">
        <f>ABS((I19-P17)/SQRT(((16-1)*I20^2+(14-1)*P18^2)/(16+14-2)))</f>
        <v>0.6738760182179222</v>
      </c>
    </row>
    <row r="3" spans="1:24" x14ac:dyDescent="0.3">
      <c r="A3" s="11" t="s">
        <v>6</v>
      </c>
      <c r="B3" s="12">
        <v>188</v>
      </c>
      <c r="C3" s="12">
        <v>33</v>
      </c>
      <c r="D3" s="12">
        <v>89</v>
      </c>
      <c r="E3" s="20">
        <f t="shared" si="0"/>
        <v>25.181077410593026</v>
      </c>
      <c r="F3" s="8">
        <v>13</v>
      </c>
      <c r="H3" s="3" t="s">
        <v>8</v>
      </c>
      <c r="I3" s="12">
        <v>168</v>
      </c>
      <c r="J3" s="12">
        <v>35</v>
      </c>
      <c r="K3" s="12">
        <v>61</v>
      </c>
      <c r="L3" s="20">
        <f>K3/(I3*0.01*I3*0.01)</f>
        <v>21.612811791383219</v>
      </c>
      <c r="M3" s="18">
        <v>9</v>
      </c>
      <c r="O3" s="11" t="s">
        <v>22</v>
      </c>
      <c r="P3" s="8">
        <v>174</v>
      </c>
      <c r="Q3" s="8">
        <v>51</v>
      </c>
      <c r="R3" s="8">
        <v>59</v>
      </c>
      <c r="S3" s="20">
        <v>19.487382745408905</v>
      </c>
      <c r="T3" s="8">
        <v>12</v>
      </c>
      <c r="V3" s="74" t="s">
        <v>1</v>
      </c>
      <c r="W3" s="8">
        <v>0.59</v>
      </c>
      <c r="X3" s="75">
        <f>ABS((J19-Q17)/SQRT(((16-1)*J20^2+(14-1)*Q18^2)/(16+14-2)))</f>
        <v>0.19852351416713748</v>
      </c>
    </row>
    <row r="4" spans="1:24" x14ac:dyDescent="0.3">
      <c r="A4" s="11" t="s">
        <v>8</v>
      </c>
      <c r="B4" s="12">
        <v>168</v>
      </c>
      <c r="C4" s="12">
        <v>35</v>
      </c>
      <c r="D4" s="12">
        <v>61</v>
      </c>
      <c r="E4" s="20">
        <f t="shared" si="0"/>
        <v>21.612811791383219</v>
      </c>
      <c r="F4" s="18">
        <v>9</v>
      </c>
      <c r="H4" s="11" t="s">
        <v>12</v>
      </c>
      <c r="I4" s="12">
        <v>165</v>
      </c>
      <c r="J4" s="12">
        <v>66</v>
      </c>
      <c r="K4" s="12">
        <v>70</v>
      </c>
      <c r="L4" s="20">
        <v>25.711662075298438</v>
      </c>
      <c r="M4" s="18">
        <v>27</v>
      </c>
      <c r="O4" s="11" t="s">
        <v>3</v>
      </c>
      <c r="P4" s="12">
        <v>179</v>
      </c>
      <c r="Q4" s="12">
        <v>31</v>
      </c>
      <c r="R4" s="12">
        <v>75</v>
      </c>
      <c r="S4" s="20">
        <v>23.407509128928556</v>
      </c>
      <c r="T4" s="18">
        <v>19</v>
      </c>
      <c r="V4" s="74" t="s">
        <v>134</v>
      </c>
      <c r="W4" s="8">
        <v>0.5</v>
      </c>
      <c r="X4" s="75">
        <f>ABS((K19-R17)/SQRT(((16-1)*K20^2+(14-1)*R18^2)/(16+14-2)))</f>
        <v>0.25325938809877813</v>
      </c>
    </row>
    <row r="5" spans="1:24" x14ac:dyDescent="0.3">
      <c r="A5" s="11" t="s">
        <v>12</v>
      </c>
      <c r="B5" s="12">
        <v>165</v>
      </c>
      <c r="C5" s="12">
        <v>66</v>
      </c>
      <c r="D5" s="12">
        <v>70</v>
      </c>
      <c r="E5" s="20">
        <f t="shared" si="0"/>
        <v>25.711662075298438</v>
      </c>
      <c r="F5" s="18">
        <v>27</v>
      </c>
      <c r="H5" s="11" t="s">
        <v>4</v>
      </c>
      <c r="I5" s="12">
        <v>165</v>
      </c>
      <c r="J5" s="12">
        <v>35</v>
      </c>
      <c r="K5" s="12">
        <v>70</v>
      </c>
      <c r="L5" s="20">
        <v>25.711662075298438</v>
      </c>
      <c r="M5" s="18">
        <v>27</v>
      </c>
      <c r="O5" s="11" t="s">
        <v>36</v>
      </c>
      <c r="P5" s="8">
        <v>175</v>
      </c>
      <c r="Q5" s="8">
        <v>33</v>
      </c>
      <c r="R5" s="8">
        <v>70</v>
      </c>
      <c r="S5" s="20">
        <v>22.857142857142858</v>
      </c>
      <c r="T5" s="8">
        <v>12</v>
      </c>
      <c r="V5" s="74" t="s">
        <v>0</v>
      </c>
      <c r="W5" s="8">
        <v>0.15</v>
      </c>
      <c r="X5" s="75">
        <f>ABS((M19-T17)/SQRT(((16-1)*M20^2+(14-1)*T18^2)/(16+14-2)))</f>
        <v>0.54927364234064002</v>
      </c>
    </row>
    <row r="6" spans="1:24" x14ac:dyDescent="0.3">
      <c r="A6" s="11" t="s">
        <v>4</v>
      </c>
      <c r="B6" s="12">
        <v>165</v>
      </c>
      <c r="C6" s="12">
        <v>35</v>
      </c>
      <c r="D6" s="12">
        <v>70</v>
      </c>
      <c r="E6" s="20">
        <f t="shared" si="0"/>
        <v>25.711662075298438</v>
      </c>
      <c r="F6" s="18">
        <v>27</v>
      </c>
      <c r="H6" s="11" t="s">
        <v>5</v>
      </c>
      <c r="I6" s="12">
        <v>164</v>
      </c>
      <c r="J6" s="12">
        <v>48</v>
      </c>
      <c r="K6" s="12">
        <v>65</v>
      </c>
      <c r="L6" s="20">
        <v>24.167162403331346</v>
      </c>
      <c r="M6" s="18">
        <v>34</v>
      </c>
      <c r="O6" s="11" t="s">
        <v>25</v>
      </c>
      <c r="P6" s="8">
        <v>170</v>
      </c>
      <c r="Q6" s="8">
        <v>52</v>
      </c>
      <c r="R6" s="8">
        <v>81</v>
      </c>
      <c r="S6" s="20">
        <v>28.027681660899653</v>
      </c>
      <c r="T6" s="8">
        <v>12</v>
      </c>
    </row>
    <row r="7" spans="1:24" x14ac:dyDescent="0.3">
      <c r="A7" s="11" t="s">
        <v>5</v>
      </c>
      <c r="B7" s="12">
        <v>164</v>
      </c>
      <c r="C7" s="12">
        <v>48</v>
      </c>
      <c r="D7" s="12">
        <v>65</v>
      </c>
      <c r="E7" s="20">
        <f t="shared" si="0"/>
        <v>24.167162403331346</v>
      </c>
      <c r="F7" s="18">
        <v>34</v>
      </c>
      <c r="H7" s="35" t="s">
        <v>39</v>
      </c>
      <c r="I7" s="16">
        <v>159</v>
      </c>
      <c r="J7" s="16">
        <v>56</v>
      </c>
      <c r="K7" s="16">
        <v>75</v>
      </c>
      <c r="L7" s="20">
        <v>29.666548000474663</v>
      </c>
      <c r="M7" s="18">
        <v>25</v>
      </c>
      <c r="O7" s="11" t="s">
        <v>16</v>
      </c>
      <c r="P7" s="8">
        <v>180</v>
      </c>
      <c r="Q7" s="8">
        <v>37</v>
      </c>
      <c r="R7" s="8">
        <v>100</v>
      </c>
      <c r="S7" s="20">
        <v>30.864197530864196</v>
      </c>
      <c r="T7" s="8">
        <v>20</v>
      </c>
    </row>
    <row r="8" spans="1:24" x14ac:dyDescent="0.3">
      <c r="A8" s="11" t="s">
        <v>9</v>
      </c>
      <c r="B8" s="12">
        <v>173</v>
      </c>
      <c r="C8" s="12">
        <v>37</v>
      </c>
      <c r="D8" s="12">
        <v>60</v>
      </c>
      <c r="E8" s="20">
        <f t="shared" si="0"/>
        <v>20.047445621303751</v>
      </c>
      <c r="F8" s="18">
        <v>20</v>
      </c>
      <c r="H8" s="11" t="s">
        <v>9</v>
      </c>
      <c r="I8" s="12">
        <v>173</v>
      </c>
      <c r="J8" s="12">
        <v>37</v>
      </c>
      <c r="K8" s="12">
        <v>60</v>
      </c>
      <c r="L8" s="20">
        <v>20.047445621303751</v>
      </c>
      <c r="M8" s="18">
        <v>20</v>
      </c>
      <c r="O8" s="11" t="s">
        <v>26</v>
      </c>
      <c r="P8" s="8">
        <v>160</v>
      </c>
      <c r="Q8" s="8">
        <v>57</v>
      </c>
      <c r="R8" s="8">
        <v>48.5</v>
      </c>
      <c r="S8" s="20">
        <v>18.9453125</v>
      </c>
      <c r="T8" s="8">
        <v>28</v>
      </c>
    </row>
    <row r="9" spans="1:24" x14ac:dyDescent="0.3">
      <c r="A9" s="11" t="s">
        <v>7</v>
      </c>
      <c r="B9" s="12">
        <v>165</v>
      </c>
      <c r="C9" s="12">
        <v>43</v>
      </c>
      <c r="D9" s="12">
        <v>46</v>
      </c>
      <c r="E9" s="20">
        <f t="shared" si="0"/>
        <v>16.896235078053259</v>
      </c>
      <c r="F9" s="18">
        <v>23</v>
      </c>
      <c r="H9" s="11" t="s">
        <v>7</v>
      </c>
      <c r="I9" s="12">
        <v>165</v>
      </c>
      <c r="J9" s="12">
        <v>43</v>
      </c>
      <c r="K9" s="12">
        <v>46</v>
      </c>
      <c r="L9" s="20">
        <v>16.896235078053259</v>
      </c>
      <c r="M9" s="18">
        <v>23</v>
      </c>
      <c r="O9" s="11" t="s">
        <v>19</v>
      </c>
      <c r="P9" s="8">
        <v>172</v>
      </c>
      <c r="Q9" s="8">
        <v>63</v>
      </c>
      <c r="R9" s="8">
        <v>62</v>
      </c>
      <c r="S9" s="20">
        <v>20.957274202271499</v>
      </c>
      <c r="T9" s="8">
        <v>25</v>
      </c>
    </row>
    <row r="10" spans="1:24" x14ac:dyDescent="0.3">
      <c r="A10" s="11" t="s">
        <v>14</v>
      </c>
      <c r="B10" s="12">
        <v>160</v>
      </c>
      <c r="C10" s="12">
        <v>35</v>
      </c>
      <c r="D10" s="12">
        <v>50</v>
      </c>
      <c r="E10" s="20">
        <f t="shared" si="0"/>
        <v>19.53125</v>
      </c>
      <c r="F10" s="18">
        <v>13</v>
      </c>
      <c r="H10" s="11" t="s">
        <v>14</v>
      </c>
      <c r="I10" s="12">
        <v>160</v>
      </c>
      <c r="J10" s="12">
        <v>35</v>
      </c>
      <c r="K10" s="12">
        <v>50</v>
      </c>
      <c r="L10" s="20">
        <v>19.53125</v>
      </c>
      <c r="M10" s="18">
        <v>13</v>
      </c>
      <c r="O10" s="11" t="s">
        <v>24</v>
      </c>
      <c r="P10" s="8">
        <v>175</v>
      </c>
      <c r="Q10" s="8">
        <v>29</v>
      </c>
      <c r="R10" s="8">
        <v>115</v>
      </c>
      <c r="S10" s="20">
        <v>37.551020408163268</v>
      </c>
      <c r="T10" s="8">
        <v>9</v>
      </c>
    </row>
    <row r="11" spans="1:24" x14ac:dyDescent="0.3">
      <c r="A11" s="11" t="s">
        <v>11</v>
      </c>
      <c r="B11" s="12">
        <v>160</v>
      </c>
      <c r="C11" s="12">
        <v>59</v>
      </c>
      <c r="D11" s="12">
        <v>63</v>
      </c>
      <c r="E11" s="20">
        <f t="shared" si="0"/>
        <v>24.609375</v>
      </c>
      <c r="F11" s="18">
        <v>27</v>
      </c>
      <c r="H11" s="11" t="s">
        <v>11</v>
      </c>
      <c r="I11" s="12">
        <v>160</v>
      </c>
      <c r="J11" s="12">
        <v>59</v>
      </c>
      <c r="K11" s="12">
        <v>63</v>
      </c>
      <c r="L11" s="20">
        <v>24.609375</v>
      </c>
      <c r="M11" s="18">
        <v>27</v>
      </c>
      <c r="O11" s="11" t="s">
        <v>21</v>
      </c>
      <c r="P11" s="8">
        <v>189</v>
      </c>
      <c r="Q11" s="8">
        <v>40</v>
      </c>
      <c r="R11" s="8">
        <v>96</v>
      </c>
      <c r="S11" s="20">
        <v>26.874947509868143</v>
      </c>
      <c r="T11" s="8">
        <v>12</v>
      </c>
    </row>
    <row r="12" spans="1:24" x14ac:dyDescent="0.3">
      <c r="A12" s="11" t="s">
        <v>10</v>
      </c>
      <c r="B12" s="12">
        <v>164</v>
      </c>
      <c r="C12" s="12">
        <v>57</v>
      </c>
      <c r="D12" s="12">
        <v>75</v>
      </c>
      <c r="E12" s="20">
        <f t="shared" si="0"/>
        <v>27.885187388459247</v>
      </c>
      <c r="F12" s="18">
        <v>15</v>
      </c>
      <c r="H12" s="11" t="s">
        <v>10</v>
      </c>
      <c r="I12" s="12">
        <v>164</v>
      </c>
      <c r="J12" s="12">
        <v>57</v>
      </c>
      <c r="K12" s="12">
        <v>75</v>
      </c>
      <c r="L12" s="20">
        <v>27.885187388459247</v>
      </c>
      <c r="M12" s="18">
        <v>15</v>
      </c>
      <c r="O12" s="11" t="s">
        <v>6</v>
      </c>
      <c r="P12" s="12">
        <v>188</v>
      </c>
      <c r="Q12" s="12">
        <v>33</v>
      </c>
      <c r="R12" s="12">
        <v>89</v>
      </c>
      <c r="S12" s="20">
        <v>25.181077410593026</v>
      </c>
      <c r="T12" s="8">
        <v>13</v>
      </c>
    </row>
    <row r="13" spans="1:24" x14ac:dyDescent="0.3">
      <c r="A13" s="11" t="s">
        <v>17</v>
      </c>
      <c r="B13" s="8">
        <v>165</v>
      </c>
      <c r="C13" s="8">
        <v>23</v>
      </c>
      <c r="D13" s="8">
        <v>86</v>
      </c>
      <c r="E13" s="20">
        <f t="shared" si="0"/>
        <v>31.588613406795222</v>
      </c>
      <c r="F13" s="8">
        <v>14</v>
      </c>
      <c r="H13" s="11" t="s">
        <v>17</v>
      </c>
      <c r="I13" s="8">
        <v>165</v>
      </c>
      <c r="J13" s="8">
        <v>23</v>
      </c>
      <c r="K13" s="8">
        <v>86</v>
      </c>
      <c r="L13" s="20">
        <v>31.588613406795222</v>
      </c>
      <c r="M13" s="8">
        <v>14</v>
      </c>
      <c r="O13" s="11" t="s">
        <v>29</v>
      </c>
      <c r="P13" s="8">
        <v>150</v>
      </c>
      <c r="Q13" s="8">
        <v>56</v>
      </c>
      <c r="R13" s="8">
        <v>46</v>
      </c>
      <c r="S13" s="20">
        <v>20.444444444444443</v>
      </c>
      <c r="T13" s="8">
        <v>23</v>
      </c>
    </row>
    <row r="14" spans="1:24" x14ac:dyDescent="0.3">
      <c r="A14" s="11" t="s">
        <v>13</v>
      </c>
      <c r="B14" s="8">
        <v>175</v>
      </c>
      <c r="C14" s="8">
        <v>21</v>
      </c>
      <c r="D14" s="8">
        <v>85</v>
      </c>
      <c r="E14" s="20">
        <f t="shared" si="0"/>
        <v>27.755102040816325</v>
      </c>
      <c r="F14" s="8">
        <v>11</v>
      </c>
      <c r="H14" s="11" t="s">
        <v>13</v>
      </c>
      <c r="I14" s="8">
        <v>175</v>
      </c>
      <c r="J14" s="8">
        <v>21</v>
      </c>
      <c r="K14" s="8">
        <v>85</v>
      </c>
      <c r="L14" s="20">
        <v>27.755102040816325</v>
      </c>
      <c r="M14" s="8">
        <v>11</v>
      </c>
      <c r="O14" s="11" t="s">
        <v>28</v>
      </c>
      <c r="P14" s="8">
        <v>164</v>
      </c>
      <c r="Q14" s="8">
        <v>31</v>
      </c>
      <c r="R14" s="8">
        <v>71</v>
      </c>
      <c r="S14" s="20">
        <v>26.397977394408088</v>
      </c>
      <c r="T14" s="8">
        <v>16</v>
      </c>
    </row>
    <row r="15" spans="1:24" x14ac:dyDescent="0.3">
      <c r="A15" s="11" t="s">
        <v>15</v>
      </c>
      <c r="B15" s="8">
        <v>185</v>
      </c>
      <c r="C15" s="8">
        <v>48</v>
      </c>
      <c r="D15" s="8">
        <v>83</v>
      </c>
      <c r="E15" s="20">
        <f t="shared" si="0"/>
        <v>24.25127830533236</v>
      </c>
      <c r="F15" s="8">
        <v>14</v>
      </c>
      <c r="H15" s="11" t="s">
        <v>15</v>
      </c>
      <c r="I15" s="8">
        <v>185</v>
      </c>
      <c r="J15" s="8">
        <v>48</v>
      </c>
      <c r="K15" s="8">
        <v>83</v>
      </c>
      <c r="L15" s="20">
        <v>24.25127830533236</v>
      </c>
      <c r="M15" s="8">
        <v>14</v>
      </c>
      <c r="O15" s="11" t="s">
        <v>27</v>
      </c>
      <c r="P15" s="8">
        <v>178</v>
      </c>
      <c r="Q15" s="8">
        <v>46</v>
      </c>
      <c r="R15" s="8">
        <v>67</v>
      </c>
      <c r="S15" s="20">
        <v>21.146319909102381</v>
      </c>
      <c r="T15" s="8">
        <v>9</v>
      </c>
    </row>
    <row r="16" spans="1:24" x14ac:dyDescent="0.3">
      <c r="A16" s="11" t="s">
        <v>42</v>
      </c>
      <c r="B16" s="8">
        <v>180</v>
      </c>
      <c r="C16" s="8">
        <v>59</v>
      </c>
      <c r="D16" s="8">
        <v>81</v>
      </c>
      <c r="E16" s="20">
        <f t="shared" si="0"/>
        <v>25</v>
      </c>
      <c r="F16" s="8">
        <v>12</v>
      </c>
      <c r="H16" s="11" t="s">
        <v>42</v>
      </c>
      <c r="I16" s="8">
        <v>180</v>
      </c>
      <c r="J16" s="8">
        <v>59</v>
      </c>
      <c r="K16" s="8">
        <v>81</v>
      </c>
      <c r="L16" s="20">
        <v>25</v>
      </c>
      <c r="M16" s="8">
        <v>12</v>
      </c>
      <c r="O16" s="11" t="s">
        <v>23</v>
      </c>
      <c r="P16" s="8">
        <v>177</v>
      </c>
      <c r="Q16" s="8">
        <v>41</v>
      </c>
      <c r="R16" s="8">
        <v>75</v>
      </c>
      <c r="S16" s="20">
        <v>23.93948099205209</v>
      </c>
      <c r="T16" s="8">
        <v>11</v>
      </c>
    </row>
    <row r="17" spans="1:20" x14ac:dyDescent="0.3">
      <c r="A17" s="35" t="s">
        <v>39</v>
      </c>
      <c r="B17" s="16">
        <v>159</v>
      </c>
      <c r="C17" s="16">
        <v>56</v>
      </c>
      <c r="D17" s="16">
        <v>75</v>
      </c>
      <c r="E17" s="20">
        <f t="shared" si="0"/>
        <v>29.666548000474663</v>
      </c>
      <c r="F17" s="18">
        <v>25</v>
      </c>
      <c r="H17" s="11" t="s">
        <v>18</v>
      </c>
      <c r="I17" s="8">
        <v>162</v>
      </c>
      <c r="J17" s="8">
        <v>50</v>
      </c>
      <c r="K17" s="8">
        <v>80</v>
      </c>
      <c r="L17" s="20">
        <v>30.483158055174517</v>
      </c>
      <c r="M17" s="8">
        <v>21</v>
      </c>
      <c r="O17" s="36" t="s">
        <v>151</v>
      </c>
      <c r="P17" s="7">
        <f>AVERAGE(P3:P16)</f>
        <v>173.64285714285714</v>
      </c>
      <c r="Q17" s="7">
        <f>AVERAGE(Q3:Q16)</f>
        <v>42.857142857142854</v>
      </c>
      <c r="R17" s="7">
        <f>AVERAGE(R3:R16)</f>
        <v>75.321428571428569</v>
      </c>
      <c r="S17" s="7">
        <f>AVERAGE(S3:S16)</f>
        <v>24.720126335296221</v>
      </c>
      <c r="T17" s="22">
        <f>AVERAGE(T3:T16)</f>
        <v>15.785714285714286</v>
      </c>
    </row>
    <row r="18" spans="1:20" x14ac:dyDescent="0.3">
      <c r="A18" s="11" t="s">
        <v>36</v>
      </c>
      <c r="B18" s="8">
        <v>175</v>
      </c>
      <c r="C18" s="8">
        <v>33</v>
      </c>
      <c r="D18" s="8">
        <v>70</v>
      </c>
      <c r="E18" s="20">
        <f t="shared" si="0"/>
        <v>22.857142857142858</v>
      </c>
      <c r="F18" s="8">
        <v>12</v>
      </c>
      <c r="H18" s="11" t="s">
        <v>20</v>
      </c>
      <c r="I18" s="8">
        <v>172</v>
      </c>
      <c r="J18" s="8">
        <v>53</v>
      </c>
      <c r="K18" s="8">
        <v>89</v>
      </c>
      <c r="L18" s="20">
        <v>30.08382909680909</v>
      </c>
      <c r="M18" s="8">
        <v>20</v>
      </c>
      <c r="O18" s="5" t="s">
        <v>31</v>
      </c>
      <c r="P18" s="6">
        <f>+_xlfn.STDEV.S(P3:P16)</f>
        <v>10.374577973675272</v>
      </c>
      <c r="Q18" s="6">
        <f>+_xlfn.STDEV.S(Q3:Q16)</f>
        <v>11.271865198579386</v>
      </c>
      <c r="R18" s="6">
        <f>+_xlfn.STDEV.S(R3:R16)</f>
        <v>19.552303762410759</v>
      </c>
      <c r="S18" s="6">
        <f>+_xlfn.STDEV.S(S3:S16)</f>
        <v>5.0591733375568078</v>
      </c>
      <c r="T18" s="23">
        <f>+_xlfn.STDEV.S(T3:T16)</f>
        <v>6.1666419165922477</v>
      </c>
    </row>
    <row r="19" spans="1:20" x14ac:dyDescent="0.3">
      <c r="A19" s="11" t="s">
        <v>18</v>
      </c>
      <c r="B19" s="8">
        <v>162</v>
      </c>
      <c r="C19" s="8">
        <v>50</v>
      </c>
      <c r="D19" s="8">
        <v>80</v>
      </c>
      <c r="E19" s="20">
        <f t="shared" si="0"/>
        <v>30.483158055174517</v>
      </c>
      <c r="F19" s="8">
        <v>21</v>
      </c>
      <c r="H19" s="36" t="s">
        <v>151</v>
      </c>
      <c r="I19" s="7">
        <f>AVERAGE(I3:I18)</f>
        <v>167.625</v>
      </c>
      <c r="J19" s="7">
        <f>AVERAGE(J3:J18)</f>
        <v>45.3125</v>
      </c>
      <c r="K19" s="7">
        <f>AVERAGE(K3:K18)</f>
        <v>71.1875</v>
      </c>
      <c r="L19" s="7">
        <f>AVERAGE(L3:L18)</f>
        <v>25.312582521158117</v>
      </c>
      <c r="M19" s="22">
        <f>AVERAGE(M3:M18)</f>
        <v>19.5</v>
      </c>
      <c r="O19" s="43" t="s">
        <v>32</v>
      </c>
      <c r="P19" s="44">
        <f>MIN(P3:P16)</f>
        <v>150</v>
      </c>
      <c r="Q19" s="44">
        <f>MIN(Q3:Q16)</f>
        <v>29</v>
      </c>
      <c r="R19" s="44">
        <f>MIN(R3:R16)</f>
        <v>46</v>
      </c>
      <c r="S19" s="44">
        <f>MIN(S3:S16)</f>
        <v>18.9453125</v>
      </c>
      <c r="T19" s="45">
        <f>MIN(T3:T16)</f>
        <v>9</v>
      </c>
    </row>
    <row r="20" spans="1:20" x14ac:dyDescent="0.3">
      <c r="A20" s="11" t="s">
        <v>20</v>
      </c>
      <c r="B20" s="8">
        <v>172</v>
      </c>
      <c r="C20" s="8">
        <v>53</v>
      </c>
      <c r="D20" s="8">
        <v>89</v>
      </c>
      <c r="E20" s="20">
        <f t="shared" si="0"/>
        <v>30.08382909680909</v>
      </c>
      <c r="F20" s="8">
        <v>20</v>
      </c>
      <c r="H20" s="5" t="s">
        <v>31</v>
      </c>
      <c r="I20" s="6">
        <f>_xlfn.STDEV.S(I3:I18)</f>
        <v>7.455423082115014</v>
      </c>
      <c r="J20" s="6">
        <f>_xlfn.STDEV.S(J3:J18)</f>
        <v>13.244967597796027</v>
      </c>
      <c r="K20" s="6">
        <f>_xlfn.STDEV.S(K3:K18)</f>
        <v>12.885230563193918</v>
      </c>
      <c r="L20" s="6">
        <f>_xlfn.STDEV.S(L3:L18)</f>
        <v>4.2382952018076399</v>
      </c>
      <c r="M20" s="23">
        <f>_xlfn.STDEV.S(M3:M18)</f>
        <v>7.2387844283415426</v>
      </c>
      <c r="O20" s="43" t="s">
        <v>33</v>
      </c>
      <c r="P20" s="44">
        <f>MAX(P3:P16)</f>
        <v>189</v>
      </c>
      <c r="Q20" s="44">
        <f>MAX(Q3:Q16)</f>
        <v>63</v>
      </c>
      <c r="R20" s="44">
        <f>MAX(R3:R16)</f>
        <v>115</v>
      </c>
      <c r="S20" s="44">
        <f>MAX(S3:S16)</f>
        <v>37.551020408163268</v>
      </c>
      <c r="T20" s="45">
        <f>MAX(T3:T16)</f>
        <v>28</v>
      </c>
    </row>
    <row r="21" spans="1:20" x14ac:dyDescent="0.3">
      <c r="A21" s="11" t="s">
        <v>22</v>
      </c>
      <c r="B21" s="8">
        <v>174</v>
      </c>
      <c r="C21" s="8">
        <v>51</v>
      </c>
      <c r="D21" s="8">
        <v>59</v>
      </c>
      <c r="E21" s="20">
        <f t="shared" si="0"/>
        <v>19.487382745408905</v>
      </c>
      <c r="F21" s="8">
        <v>12</v>
      </c>
      <c r="H21" s="43" t="s">
        <v>32</v>
      </c>
      <c r="I21" s="44">
        <f>MIN(I3:I18)</f>
        <v>159</v>
      </c>
      <c r="J21" s="44">
        <f>MIN(J3:J18)</f>
        <v>21</v>
      </c>
      <c r="K21" s="44">
        <f>MIN(K3:K18)</f>
        <v>46</v>
      </c>
      <c r="L21" s="44">
        <f>MIN(L3:L18)</f>
        <v>16.896235078053259</v>
      </c>
      <c r="M21" s="45">
        <f>MIN(M3:M18)</f>
        <v>9</v>
      </c>
    </row>
    <row r="22" spans="1:20" x14ac:dyDescent="0.3">
      <c r="A22" s="11" t="s">
        <v>25</v>
      </c>
      <c r="B22" s="8">
        <v>170</v>
      </c>
      <c r="C22" s="8">
        <v>52</v>
      </c>
      <c r="D22" s="8">
        <v>81</v>
      </c>
      <c r="E22" s="20">
        <f t="shared" si="0"/>
        <v>28.027681660899653</v>
      </c>
      <c r="F22" s="8">
        <v>12</v>
      </c>
      <c r="H22" s="43" t="s">
        <v>33</v>
      </c>
      <c r="I22" s="44">
        <f>MAX(I3:I18)</f>
        <v>185</v>
      </c>
      <c r="J22" s="44">
        <f>MAX(J3:J18)</f>
        <v>66</v>
      </c>
      <c r="K22" s="44">
        <f>MAX(K3:K18)</f>
        <v>89</v>
      </c>
      <c r="L22" s="44">
        <f>MAX(L3:L18)</f>
        <v>31.588613406795222</v>
      </c>
      <c r="M22" s="45">
        <f>MAX(M3:M18)</f>
        <v>34</v>
      </c>
    </row>
    <row r="23" spans="1:20" x14ac:dyDescent="0.3">
      <c r="A23" s="11" t="s">
        <v>16</v>
      </c>
      <c r="B23" s="8">
        <v>180</v>
      </c>
      <c r="C23" s="8">
        <v>37</v>
      </c>
      <c r="D23" s="8">
        <v>100</v>
      </c>
      <c r="E23" s="20">
        <f t="shared" si="0"/>
        <v>30.864197530864196</v>
      </c>
      <c r="F23" s="8">
        <v>20</v>
      </c>
    </row>
    <row r="24" spans="1:20" x14ac:dyDescent="0.3">
      <c r="A24" s="11" t="s">
        <v>26</v>
      </c>
      <c r="B24" s="8">
        <v>160</v>
      </c>
      <c r="C24" s="8">
        <v>57</v>
      </c>
      <c r="D24" s="8">
        <v>48.5</v>
      </c>
      <c r="E24" s="20">
        <f t="shared" si="0"/>
        <v>18.9453125</v>
      </c>
      <c r="F24" s="8">
        <v>28</v>
      </c>
    </row>
    <row r="25" spans="1:20" x14ac:dyDescent="0.3">
      <c r="A25" s="11" t="s">
        <v>19</v>
      </c>
      <c r="B25" s="8">
        <v>172</v>
      </c>
      <c r="C25" s="8">
        <v>63</v>
      </c>
      <c r="D25" s="8">
        <v>62</v>
      </c>
      <c r="E25" s="20">
        <f t="shared" si="0"/>
        <v>20.957274202271499</v>
      </c>
      <c r="F25" s="8">
        <v>25</v>
      </c>
      <c r="J25" s="2"/>
      <c r="K25" s="2"/>
    </row>
    <row r="26" spans="1:20" x14ac:dyDescent="0.3">
      <c r="A26" s="11" t="s">
        <v>24</v>
      </c>
      <c r="B26" s="8">
        <v>175</v>
      </c>
      <c r="C26" s="8">
        <v>29</v>
      </c>
      <c r="D26" s="8">
        <v>115</v>
      </c>
      <c r="E26" s="20">
        <f t="shared" si="0"/>
        <v>37.551020408163268</v>
      </c>
      <c r="F26" s="8">
        <v>9</v>
      </c>
    </row>
    <row r="27" spans="1:20" x14ac:dyDescent="0.3">
      <c r="A27" s="11" t="s">
        <v>21</v>
      </c>
      <c r="B27" s="8">
        <v>189</v>
      </c>
      <c r="C27" s="8">
        <v>40</v>
      </c>
      <c r="D27" s="8">
        <v>96</v>
      </c>
      <c r="E27" s="20">
        <f t="shared" si="0"/>
        <v>26.874947509868143</v>
      </c>
      <c r="F27" s="8">
        <v>12</v>
      </c>
    </row>
    <row r="28" spans="1:20" x14ac:dyDescent="0.3">
      <c r="A28" s="11" t="s">
        <v>29</v>
      </c>
      <c r="B28" s="8">
        <v>150</v>
      </c>
      <c r="C28" s="8">
        <v>56</v>
      </c>
      <c r="D28" s="8">
        <v>46</v>
      </c>
      <c r="E28" s="20">
        <f t="shared" si="0"/>
        <v>20.444444444444443</v>
      </c>
      <c r="F28" s="8">
        <v>23</v>
      </c>
    </row>
    <row r="29" spans="1:20" x14ac:dyDescent="0.3">
      <c r="A29" s="11" t="s">
        <v>28</v>
      </c>
      <c r="B29" s="8">
        <v>164</v>
      </c>
      <c r="C29" s="8">
        <v>31</v>
      </c>
      <c r="D29" s="8">
        <v>71</v>
      </c>
      <c r="E29" s="20">
        <f t="shared" si="0"/>
        <v>26.397977394408088</v>
      </c>
      <c r="F29" s="8">
        <v>16</v>
      </c>
    </row>
    <row r="30" spans="1:20" x14ac:dyDescent="0.3">
      <c r="A30" s="11" t="s">
        <v>27</v>
      </c>
      <c r="B30" s="8">
        <v>178</v>
      </c>
      <c r="C30" s="8">
        <v>46</v>
      </c>
      <c r="D30" s="8">
        <v>67</v>
      </c>
      <c r="E30" s="20">
        <f t="shared" si="0"/>
        <v>21.146319909102381</v>
      </c>
      <c r="F30" s="8">
        <v>9</v>
      </c>
    </row>
    <row r="31" spans="1:20" x14ac:dyDescent="0.3">
      <c r="A31" s="11" t="s">
        <v>23</v>
      </c>
      <c r="B31" s="8">
        <v>177</v>
      </c>
      <c r="C31" s="8">
        <v>41</v>
      </c>
      <c r="D31" s="8">
        <v>75</v>
      </c>
      <c r="E31" s="20">
        <f t="shared" si="0"/>
        <v>23.93948099205209</v>
      </c>
      <c r="F31" s="8">
        <v>11</v>
      </c>
    </row>
    <row r="32" spans="1:20" x14ac:dyDescent="0.3">
      <c r="A32" s="36" t="s">
        <v>151</v>
      </c>
      <c r="B32" s="7">
        <f>AVERAGE(B2:B31)</f>
        <v>170.43333333333334</v>
      </c>
      <c r="C32" s="7">
        <f>AVERAGE(C2:C31)</f>
        <v>44.166666666666664</v>
      </c>
      <c r="D32" s="7">
        <f>AVERAGE(D2:D31)</f>
        <v>73.11666666666666</v>
      </c>
      <c r="E32" s="22">
        <f>AVERAGE(E2:E31)</f>
        <v>25.036102967755898</v>
      </c>
      <c r="F32" s="22">
        <f>AVERAGE(F2:F31)</f>
        <v>17.766666666666666</v>
      </c>
    </row>
    <row r="33" spans="1:17" x14ac:dyDescent="0.3">
      <c r="A33" s="37" t="s">
        <v>31</v>
      </c>
      <c r="B33" s="6">
        <f>+_xlfn.STDEV.S(B2:B31)</f>
        <v>9.2910165485670682</v>
      </c>
      <c r="C33" s="6">
        <f>+_xlfn.STDEV.S(C2:C31)</f>
        <v>12.216674115191152</v>
      </c>
      <c r="D33" s="6">
        <f>+_xlfn.STDEV.S(D2:D31)</f>
        <v>16.175590024591944</v>
      </c>
      <c r="E33" s="23">
        <f>+_xlfn.STDEV.S(E2:E31)</f>
        <v>4.566769320543334</v>
      </c>
      <c r="F33" s="23">
        <f>+_xlfn.STDEV.S(F2:F31)</f>
        <v>6.9066850840743212</v>
      </c>
    </row>
    <row r="39" spans="1:17" x14ac:dyDescent="0.3">
      <c r="Q39" s="50"/>
    </row>
    <row r="52" spans="17:17" x14ac:dyDescent="0.3">
      <c r="Q52" s="50"/>
    </row>
    <row r="53" spans="17:17" x14ac:dyDescent="0.3">
      <c r="Q53" s="50"/>
    </row>
    <row r="54" spans="17:17" x14ac:dyDescent="0.3">
      <c r="Q54" s="50"/>
    </row>
    <row r="55" spans="17:17" x14ac:dyDescent="0.3">
      <c r="Q55" s="50"/>
    </row>
    <row r="56" spans="17:17" x14ac:dyDescent="0.3">
      <c r="Q56" s="50"/>
    </row>
    <row r="57" spans="17:17" x14ac:dyDescent="0.3">
      <c r="Q57" s="50"/>
    </row>
    <row r="58" spans="17:17" x14ac:dyDescent="0.3">
      <c r="Q58" s="50"/>
    </row>
    <row r="59" spans="17:17" x14ac:dyDescent="0.3">
      <c r="Q59" s="50"/>
    </row>
    <row r="60" spans="17:17" x14ac:dyDescent="0.3">
      <c r="Q60" s="50"/>
    </row>
    <row r="61" spans="17:17" x14ac:dyDescent="0.3">
      <c r="Q61" s="50"/>
    </row>
  </sheetData>
  <mergeCells count="2">
    <mergeCell ref="I1:M1"/>
    <mergeCell ref="P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E1BE0-4EDE-4F00-A335-7E3202D7E053}">
  <dimension ref="A1:T22"/>
  <sheetViews>
    <sheetView zoomScale="72" zoomScaleNormal="115" workbookViewId="0">
      <selection activeCell="P20" sqref="P20"/>
    </sheetView>
  </sheetViews>
  <sheetFormatPr baseColWidth="10" defaultColWidth="11.44140625" defaultRowHeight="14.4" x14ac:dyDescent="0.3"/>
  <cols>
    <col min="2" max="2" width="14.44140625" customWidth="1"/>
    <col min="3" max="3" width="16.5546875" customWidth="1"/>
    <col min="4" max="4" width="12.21875" customWidth="1"/>
    <col min="5" max="5" width="21.33203125" customWidth="1"/>
    <col min="6" max="6" width="22.21875" customWidth="1"/>
    <col min="7" max="7" width="15.5546875" bestFit="1" customWidth="1"/>
    <col min="10" max="10" width="15.6640625" customWidth="1"/>
    <col min="11" max="11" width="17.88671875" customWidth="1"/>
    <col min="12" max="12" width="13.33203125" customWidth="1"/>
    <col min="13" max="13" width="19" customWidth="1"/>
    <col min="14" max="14" width="22.21875" customWidth="1"/>
    <col min="15" max="15" width="15.5546875" bestFit="1" customWidth="1"/>
    <col min="18" max="18" width="14.5546875" bestFit="1" customWidth="1"/>
  </cols>
  <sheetData>
    <row r="1" spans="1:20" ht="15" thickBot="1" x14ac:dyDescent="0.35">
      <c r="A1" s="94" t="s">
        <v>84</v>
      </c>
      <c r="B1" s="94"/>
      <c r="C1" s="94"/>
      <c r="D1" s="94"/>
      <c r="E1" s="94"/>
      <c r="F1" s="94"/>
      <c r="G1" s="94"/>
      <c r="H1" s="31"/>
      <c r="I1" s="94" t="s">
        <v>85</v>
      </c>
      <c r="J1" s="94"/>
      <c r="K1" s="94"/>
      <c r="L1" s="94"/>
      <c r="M1" s="94"/>
      <c r="N1" s="94"/>
      <c r="O1" s="94"/>
    </row>
    <row r="2" spans="1:20" ht="16.8" customHeight="1" thickBot="1" x14ac:dyDescent="0.35">
      <c r="A2" s="78"/>
      <c r="B2" s="78" t="s">
        <v>87</v>
      </c>
      <c r="C2" s="78" t="s">
        <v>88</v>
      </c>
      <c r="D2" s="78" t="s">
        <v>37</v>
      </c>
      <c r="E2" s="78" t="s">
        <v>89</v>
      </c>
      <c r="F2" s="78" t="s">
        <v>90</v>
      </c>
      <c r="G2" s="79" t="s">
        <v>40</v>
      </c>
      <c r="H2" s="31"/>
      <c r="I2" s="78"/>
      <c r="J2" s="78" t="s">
        <v>87</v>
      </c>
      <c r="K2" s="78" t="s">
        <v>88</v>
      </c>
      <c r="L2" s="78" t="s">
        <v>37</v>
      </c>
      <c r="M2" s="78" t="s">
        <v>89</v>
      </c>
      <c r="N2" s="78" t="s">
        <v>90</v>
      </c>
      <c r="O2" s="79" t="s">
        <v>40</v>
      </c>
      <c r="R2" s="30" t="s">
        <v>37</v>
      </c>
      <c r="S2" s="8" t="s">
        <v>38</v>
      </c>
      <c r="T2" s="75">
        <f>ABS((L19-D17)/SQRT(((16-1)*L20^2+(14-1)*D18^2)/(16+14-2)))</f>
        <v>0.44538368181640514</v>
      </c>
    </row>
    <row r="3" spans="1:20" ht="15" thickBot="1" x14ac:dyDescent="0.35">
      <c r="A3" s="11" t="s">
        <v>22</v>
      </c>
      <c r="B3" s="18">
        <v>0.9</v>
      </c>
      <c r="C3" s="18">
        <v>0.83</v>
      </c>
      <c r="D3" s="18">
        <v>0.87</v>
      </c>
      <c r="E3" s="18">
        <v>0.71</v>
      </c>
      <c r="F3" s="18">
        <v>0.91</v>
      </c>
      <c r="G3" s="18">
        <v>0.81</v>
      </c>
      <c r="H3" s="31"/>
      <c r="I3" s="3" t="s">
        <v>8</v>
      </c>
      <c r="J3" s="18">
        <v>0.94</v>
      </c>
      <c r="K3" s="18">
        <v>0.83</v>
      </c>
      <c r="L3" s="18">
        <v>0.89</v>
      </c>
      <c r="M3" s="18">
        <v>0.72</v>
      </c>
      <c r="N3" s="18">
        <v>0.83</v>
      </c>
      <c r="O3" s="18">
        <v>0.78</v>
      </c>
      <c r="R3" s="34" t="s">
        <v>40</v>
      </c>
      <c r="S3" s="8" t="s">
        <v>41</v>
      </c>
      <c r="T3" s="75">
        <f>ABS((O19-G17)/SQRT(((16-1)*O20^2+(14-1)*G18^2)/(16+14-2)))</f>
        <v>0.12290392628664899</v>
      </c>
    </row>
    <row r="4" spans="1:20" ht="15" thickBot="1" x14ac:dyDescent="0.35">
      <c r="A4" s="11" t="s">
        <v>3</v>
      </c>
      <c r="B4" s="18">
        <v>0.99</v>
      </c>
      <c r="C4" s="18">
        <v>0.89</v>
      </c>
      <c r="D4" s="18">
        <v>0.94</v>
      </c>
      <c r="E4" s="18">
        <v>0.75</v>
      </c>
      <c r="F4" s="18">
        <v>0.81</v>
      </c>
      <c r="G4" s="18">
        <v>0.78</v>
      </c>
      <c r="H4" s="31"/>
      <c r="I4" s="11" t="s">
        <v>12</v>
      </c>
      <c r="J4" s="18">
        <v>0.89</v>
      </c>
      <c r="K4" s="18">
        <v>0.94</v>
      </c>
      <c r="L4" s="18">
        <v>0.92</v>
      </c>
      <c r="M4" s="18">
        <v>0.67</v>
      </c>
      <c r="N4" s="18">
        <v>0.76</v>
      </c>
      <c r="O4" s="18">
        <v>0.72</v>
      </c>
    </row>
    <row r="5" spans="1:20" ht="15" thickBot="1" x14ac:dyDescent="0.35">
      <c r="A5" s="11" t="s">
        <v>36</v>
      </c>
      <c r="B5" s="18">
        <v>0.89</v>
      </c>
      <c r="C5" s="18">
        <v>0.83</v>
      </c>
      <c r="D5" s="18">
        <v>0.86</v>
      </c>
      <c r="E5" s="18">
        <v>0.74</v>
      </c>
      <c r="F5" s="18">
        <v>0.81</v>
      </c>
      <c r="G5" s="18">
        <v>0.77</v>
      </c>
      <c r="H5" s="31"/>
      <c r="I5" s="11" t="s">
        <v>4</v>
      </c>
      <c r="J5" s="18">
        <v>0.99</v>
      </c>
      <c r="K5" s="18">
        <v>0.94</v>
      </c>
      <c r="L5" s="18">
        <v>0.97</v>
      </c>
      <c r="M5" s="18">
        <v>0.83</v>
      </c>
      <c r="N5" s="18">
        <v>1.1499999999999999</v>
      </c>
      <c r="O5" s="18">
        <v>0.99</v>
      </c>
    </row>
    <row r="6" spans="1:20" ht="15" thickBot="1" x14ac:dyDescent="0.35">
      <c r="A6" s="11" t="s">
        <v>25</v>
      </c>
      <c r="B6" s="18">
        <v>0.93</v>
      </c>
      <c r="C6" s="18">
        <v>0.96</v>
      </c>
      <c r="D6" s="18">
        <v>0.94</v>
      </c>
      <c r="E6" s="18">
        <v>0.7</v>
      </c>
      <c r="F6" s="18">
        <v>0.8</v>
      </c>
      <c r="G6" s="18">
        <v>0.75</v>
      </c>
      <c r="H6" s="31"/>
      <c r="I6" s="11" t="s">
        <v>5</v>
      </c>
      <c r="J6" s="18">
        <v>0.97</v>
      </c>
      <c r="K6" s="18">
        <v>0.89</v>
      </c>
      <c r="L6" s="18">
        <v>0.93</v>
      </c>
      <c r="M6" s="18">
        <v>0.76</v>
      </c>
      <c r="N6" s="18">
        <v>1.1100000000000001</v>
      </c>
      <c r="O6" s="18">
        <v>0.93</v>
      </c>
    </row>
    <row r="7" spans="1:20" ht="15" thickBot="1" x14ac:dyDescent="0.35">
      <c r="A7" s="11" t="s">
        <v>16</v>
      </c>
      <c r="B7" s="18">
        <v>0.82</v>
      </c>
      <c r="C7" s="18">
        <v>0.78</v>
      </c>
      <c r="D7" s="18">
        <v>0.8</v>
      </c>
      <c r="E7" s="18">
        <v>0.95</v>
      </c>
      <c r="F7" s="18">
        <v>1.1000000000000001</v>
      </c>
      <c r="G7" s="18">
        <v>1.02</v>
      </c>
      <c r="H7" s="31"/>
      <c r="I7" s="35" t="s">
        <v>39</v>
      </c>
      <c r="J7" s="18">
        <v>0.99</v>
      </c>
      <c r="K7" s="18">
        <v>0.96</v>
      </c>
      <c r="L7" s="18">
        <v>0.97</v>
      </c>
      <c r="M7" s="18">
        <v>0.88</v>
      </c>
      <c r="N7" s="18">
        <v>1.03</v>
      </c>
      <c r="O7" s="18">
        <v>0.95</v>
      </c>
    </row>
    <row r="8" spans="1:20" ht="15" thickBot="1" x14ac:dyDescent="0.35">
      <c r="A8" s="11" t="s">
        <v>26</v>
      </c>
      <c r="B8" s="18">
        <v>0.86</v>
      </c>
      <c r="C8" s="18">
        <v>0.22</v>
      </c>
      <c r="D8" s="18">
        <v>0.54</v>
      </c>
      <c r="E8" s="18">
        <v>1.2</v>
      </c>
      <c r="F8" s="18">
        <v>1.34</v>
      </c>
      <c r="G8" s="18">
        <v>1.26</v>
      </c>
      <c r="H8" s="31"/>
      <c r="I8" s="11" t="s">
        <v>9</v>
      </c>
      <c r="J8" s="18">
        <v>0.99</v>
      </c>
      <c r="K8" s="18">
        <v>0.99</v>
      </c>
      <c r="L8" s="18">
        <v>0.99</v>
      </c>
      <c r="M8" s="18">
        <v>0.9</v>
      </c>
      <c r="N8" s="18">
        <v>1.04</v>
      </c>
      <c r="O8" s="18">
        <v>0.97</v>
      </c>
    </row>
    <row r="9" spans="1:20" ht="15" thickBot="1" x14ac:dyDescent="0.35">
      <c r="A9" s="11" t="s">
        <v>19</v>
      </c>
      <c r="B9" s="18">
        <v>0.97</v>
      </c>
      <c r="C9" s="18">
        <v>1</v>
      </c>
      <c r="D9" s="18">
        <v>0.99</v>
      </c>
      <c r="E9" s="18">
        <v>0.78</v>
      </c>
      <c r="F9" s="18">
        <v>0.91</v>
      </c>
      <c r="G9" s="18">
        <v>0.84</v>
      </c>
      <c r="H9" s="31"/>
      <c r="I9" s="11" t="s">
        <v>7</v>
      </c>
      <c r="J9" s="18">
        <v>1</v>
      </c>
      <c r="K9" s="18">
        <v>0.9</v>
      </c>
      <c r="L9" s="18">
        <v>0.95</v>
      </c>
      <c r="M9" s="18">
        <v>0.82</v>
      </c>
      <c r="N9" s="18">
        <v>0.96</v>
      </c>
      <c r="O9" s="18">
        <v>0.89</v>
      </c>
    </row>
    <row r="10" spans="1:20" ht="15" thickBot="1" x14ac:dyDescent="0.35">
      <c r="A10" s="11" t="s">
        <v>24</v>
      </c>
      <c r="B10" s="18">
        <v>1</v>
      </c>
      <c r="C10" s="18">
        <v>1</v>
      </c>
      <c r="D10" s="18">
        <v>1</v>
      </c>
      <c r="E10" s="18">
        <v>0.73</v>
      </c>
      <c r="F10" s="18">
        <v>0.83</v>
      </c>
      <c r="G10" s="18">
        <v>0.78</v>
      </c>
      <c r="H10" s="31"/>
      <c r="I10" s="11" t="s">
        <v>14</v>
      </c>
      <c r="J10" s="18">
        <v>0.99</v>
      </c>
      <c r="K10" s="18">
        <v>1</v>
      </c>
      <c r="L10" s="18">
        <v>0.99</v>
      </c>
      <c r="M10" s="18">
        <v>0.62</v>
      </c>
      <c r="N10" s="18">
        <v>0.71</v>
      </c>
      <c r="O10" s="18">
        <v>0.67</v>
      </c>
    </row>
    <row r="11" spans="1:20" ht="15" thickBot="1" x14ac:dyDescent="0.35">
      <c r="A11" s="11" t="s">
        <v>21</v>
      </c>
      <c r="B11" s="18">
        <v>0.99</v>
      </c>
      <c r="C11" s="18">
        <v>0.9</v>
      </c>
      <c r="D11" s="18">
        <v>0.94</v>
      </c>
      <c r="E11" s="18">
        <v>0.64</v>
      </c>
      <c r="F11" s="18">
        <v>0.8</v>
      </c>
      <c r="G11" s="18">
        <v>0.72</v>
      </c>
      <c r="H11" s="31"/>
      <c r="I11" s="11" t="s">
        <v>11</v>
      </c>
      <c r="J11" s="18">
        <v>0.99</v>
      </c>
      <c r="K11" s="18">
        <v>0.99</v>
      </c>
      <c r="L11" s="18">
        <v>0.99</v>
      </c>
      <c r="M11" s="18">
        <v>0.75</v>
      </c>
      <c r="N11" s="18">
        <v>0.89</v>
      </c>
      <c r="O11" s="18">
        <v>0.82</v>
      </c>
    </row>
    <row r="12" spans="1:20" ht="15" thickBot="1" x14ac:dyDescent="0.35">
      <c r="A12" s="11" t="s">
        <v>6</v>
      </c>
      <c r="B12" s="18">
        <v>0.96</v>
      </c>
      <c r="C12" s="18">
        <v>0.96</v>
      </c>
      <c r="D12" s="18">
        <v>0.96</v>
      </c>
      <c r="E12" s="18">
        <v>0.54</v>
      </c>
      <c r="F12" s="18">
        <v>0.65</v>
      </c>
      <c r="G12" s="18">
        <v>0.59</v>
      </c>
      <c r="H12" s="31"/>
      <c r="I12" s="11" t="s">
        <v>10</v>
      </c>
      <c r="J12" s="18">
        <v>0.72</v>
      </c>
      <c r="K12" s="18">
        <v>0.69</v>
      </c>
      <c r="L12" s="18">
        <v>0.7</v>
      </c>
      <c r="M12" s="18">
        <v>0.66</v>
      </c>
      <c r="N12" s="18">
        <v>0.69</v>
      </c>
      <c r="O12" s="18">
        <v>0.68</v>
      </c>
    </row>
    <row r="13" spans="1:20" ht="15" thickBot="1" x14ac:dyDescent="0.35">
      <c r="A13" s="11" t="s">
        <v>29</v>
      </c>
      <c r="B13" s="18">
        <v>0.96</v>
      </c>
      <c r="C13" s="18">
        <v>0.92</v>
      </c>
      <c r="D13" s="18">
        <v>0.94</v>
      </c>
      <c r="E13" s="18">
        <v>0.76</v>
      </c>
      <c r="F13" s="18">
        <v>0.9</v>
      </c>
      <c r="G13" s="18">
        <v>0.83</v>
      </c>
      <c r="H13" s="31"/>
      <c r="I13" s="11" t="s">
        <v>17</v>
      </c>
      <c r="J13" s="18">
        <v>0.77</v>
      </c>
      <c r="K13" s="18">
        <v>0.63</v>
      </c>
      <c r="L13" s="18">
        <v>0.7</v>
      </c>
      <c r="M13" s="18">
        <v>0.64</v>
      </c>
      <c r="N13" s="18">
        <v>0.71</v>
      </c>
      <c r="O13" s="18">
        <v>0.67</v>
      </c>
    </row>
    <row r="14" spans="1:20" ht="15" thickBot="1" x14ac:dyDescent="0.35">
      <c r="A14" s="11" t="s">
        <v>28</v>
      </c>
      <c r="B14" s="18">
        <v>0.92</v>
      </c>
      <c r="C14" s="18">
        <v>0.97</v>
      </c>
      <c r="D14" s="18">
        <v>0.94</v>
      </c>
      <c r="E14" s="18">
        <v>0.56000000000000005</v>
      </c>
      <c r="F14" s="18">
        <v>0.65</v>
      </c>
      <c r="G14" s="18">
        <v>0.6</v>
      </c>
      <c r="H14" s="31"/>
      <c r="I14" s="11" t="s">
        <v>13</v>
      </c>
      <c r="J14" s="18">
        <v>0.89</v>
      </c>
      <c r="K14" s="18">
        <v>0.82</v>
      </c>
      <c r="L14" s="18">
        <v>0.86</v>
      </c>
      <c r="M14" s="18">
        <v>0.61</v>
      </c>
      <c r="N14" s="18">
        <v>0.67</v>
      </c>
      <c r="O14" s="18">
        <v>0.64</v>
      </c>
    </row>
    <row r="15" spans="1:20" ht="15" thickBot="1" x14ac:dyDescent="0.35">
      <c r="A15" s="11" t="s">
        <v>27</v>
      </c>
      <c r="B15" s="18">
        <v>1</v>
      </c>
      <c r="C15" s="18">
        <v>0.99</v>
      </c>
      <c r="D15" s="18">
        <v>0.99</v>
      </c>
      <c r="E15" s="18">
        <v>0.7</v>
      </c>
      <c r="F15" s="18">
        <v>0.88</v>
      </c>
      <c r="G15" s="18">
        <v>0.79</v>
      </c>
      <c r="H15" s="31"/>
      <c r="I15" s="11" t="s">
        <v>15</v>
      </c>
      <c r="J15" s="18">
        <v>0.69</v>
      </c>
      <c r="K15" s="18">
        <v>0.49</v>
      </c>
      <c r="L15" s="18">
        <v>0.59</v>
      </c>
      <c r="M15" s="18">
        <v>0.65</v>
      </c>
      <c r="N15" s="18">
        <v>0.7</v>
      </c>
      <c r="O15" s="18">
        <v>0.67</v>
      </c>
    </row>
    <row r="16" spans="1:20" ht="15" thickBot="1" x14ac:dyDescent="0.35">
      <c r="A16" s="11" t="s">
        <v>23</v>
      </c>
      <c r="B16" s="18">
        <v>0.96</v>
      </c>
      <c r="C16" s="18">
        <v>0.96</v>
      </c>
      <c r="D16" s="18">
        <v>0.96</v>
      </c>
      <c r="E16" s="18">
        <v>0.65</v>
      </c>
      <c r="F16" s="18">
        <v>0.75</v>
      </c>
      <c r="G16" s="18">
        <v>0.7</v>
      </c>
      <c r="H16" s="31"/>
      <c r="I16" s="11" t="s">
        <v>42</v>
      </c>
      <c r="J16" s="18">
        <v>0.89</v>
      </c>
      <c r="K16" s="18">
        <v>0.75</v>
      </c>
      <c r="L16" s="18">
        <v>0.82</v>
      </c>
      <c r="M16" s="18">
        <v>0.67</v>
      </c>
      <c r="N16" s="18">
        <v>0.74</v>
      </c>
      <c r="O16" s="18">
        <v>0.71</v>
      </c>
    </row>
    <row r="17" spans="1:15" ht="15" thickBot="1" x14ac:dyDescent="0.35">
      <c r="A17" s="4" t="s">
        <v>30</v>
      </c>
      <c r="B17" s="26">
        <f>AVERAGE(B3:B16)</f>
        <v>0.93928571428571417</v>
      </c>
      <c r="C17" s="26">
        <f t="shared" ref="C17:G17" si="0">AVERAGE(C3:C16)</f>
        <v>0.87214285714285722</v>
      </c>
      <c r="D17" s="26">
        <f t="shared" si="0"/>
        <v>0.90499999999999992</v>
      </c>
      <c r="E17" s="26">
        <f t="shared" si="0"/>
        <v>0.74357142857142855</v>
      </c>
      <c r="F17" s="26">
        <f t="shared" si="0"/>
        <v>0.86714285714285733</v>
      </c>
      <c r="G17" s="26">
        <f t="shared" si="0"/>
        <v>0.80285714285714271</v>
      </c>
      <c r="H17" s="32"/>
      <c r="I17" s="11" t="s">
        <v>18</v>
      </c>
      <c r="J17" s="18">
        <v>0.84</v>
      </c>
      <c r="K17" s="18">
        <v>0.39</v>
      </c>
      <c r="L17" s="18">
        <v>0.62</v>
      </c>
      <c r="M17" s="18">
        <v>0.71</v>
      </c>
      <c r="N17" s="18">
        <v>0.81</v>
      </c>
      <c r="O17" s="18">
        <v>0.75</v>
      </c>
    </row>
    <row r="18" spans="1:15" ht="15" thickBot="1" x14ac:dyDescent="0.35">
      <c r="A18" s="5" t="s">
        <v>31</v>
      </c>
      <c r="B18" s="28">
        <f>_xlfn.STDEV.S(B3:B16)</f>
        <v>5.5256643974247156E-2</v>
      </c>
      <c r="C18" s="28">
        <f t="shared" ref="C18:G18" si="1">_xlfn.STDEV.S(C3:C16)</f>
        <v>0.20000686801394355</v>
      </c>
      <c r="D18" s="28">
        <f t="shared" si="1"/>
        <v>0.11869482523876781</v>
      </c>
      <c r="E18" s="28">
        <f t="shared" si="1"/>
        <v>0.16462578276700274</v>
      </c>
      <c r="F18" s="28">
        <f t="shared" si="1"/>
        <v>0.17708879004736369</v>
      </c>
      <c r="G18" s="28">
        <f t="shared" si="1"/>
        <v>0.16808553552506386</v>
      </c>
      <c r="H18" s="32"/>
      <c r="I18" s="11" t="s">
        <v>20</v>
      </c>
      <c r="J18" s="18">
        <v>0.79</v>
      </c>
      <c r="K18" s="18">
        <v>0.47</v>
      </c>
      <c r="L18" s="18">
        <v>0.63</v>
      </c>
      <c r="M18" s="18">
        <v>0.68</v>
      </c>
      <c r="N18" s="18">
        <v>0.77</v>
      </c>
      <c r="O18" s="18">
        <v>0.72</v>
      </c>
    </row>
    <row r="19" spans="1:15" x14ac:dyDescent="0.3">
      <c r="A19" s="43" t="s">
        <v>32</v>
      </c>
      <c r="B19" s="46">
        <f t="shared" ref="B19:G19" si="2">MIN(B3:B16)</f>
        <v>0.82</v>
      </c>
      <c r="C19" s="46">
        <f t="shared" si="2"/>
        <v>0.22</v>
      </c>
      <c r="D19" s="46">
        <f t="shared" si="2"/>
        <v>0.54</v>
      </c>
      <c r="E19" s="46">
        <f t="shared" si="2"/>
        <v>0.54</v>
      </c>
      <c r="F19" s="46">
        <f t="shared" si="2"/>
        <v>0.65</v>
      </c>
      <c r="G19" s="46">
        <f t="shared" si="2"/>
        <v>0.59</v>
      </c>
      <c r="I19" s="4" t="s">
        <v>30</v>
      </c>
      <c r="J19" s="26">
        <f>AVERAGE(J3:J18)</f>
        <v>0.89624999999999999</v>
      </c>
      <c r="K19" s="26">
        <f t="shared" ref="K19:O19" si="3">AVERAGE(K3:K18)</f>
        <v>0.7925000000000002</v>
      </c>
      <c r="L19" s="26">
        <f t="shared" si="3"/>
        <v>0.84499999999999997</v>
      </c>
      <c r="M19" s="26">
        <f t="shared" si="3"/>
        <v>0.72312500000000002</v>
      </c>
      <c r="N19" s="26">
        <f t="shared" si="3"/>
        <v>0.84812499999999991</v>
      </c>
      <c r="O19" s="26">
        <f t="shared" si="3"/>
        <v>0.78500000000000003</v>
      </c>
    </row>
    <row r="20" spans="1:15" x14ac:dyDescent="0.3">
      <c r="A20" s="43" t="s">
        <v>33</v>
      </c>
      <c r="B20" s="46">
        <f t="shared" ref="B20:G20" si="4">MAX(B3:B16)</f>
        <v>1</v>
      </c>
      <c r="C20" s="46">
        <f t="shared" si="4"/>
        <v>1</v>
      </c>
      <c r="D20" s="46">
        <f t="shared" si="4"/>
        <v>1</v>
      </c>
      <c r="E20" s="46">
        <f t="shared" si="4"/>
        <v>1.2</v>
      </c>
      <c r="F20" s="46">
        <f t="shared" si="4"/>
        <v>1.34</v>
      </c>
      <c r="G20" s="46">
        <f t="shared" si="4"/>
        <v>1.26</v>
      </c>
      <c r="I20" s="5" t="s">
        <v>31</v>
      </c>
      <c r="J20" s="28">
        <f>_xlfn.STDEV.S(J3:J18)</f>
        <v>0.10525366185237219</v>
      </c>
      <c r="K20" s="28">
        <f t="shared" ref="K20:O20" si="5">_xlfn.STDEV.S(K3:K18)</f>
        <v>0.20200660055222558</v>
      </c>
      <c r="L20" s="28">
        <f t="shared" si="5"/>
        <v>0.14719601443879768</v>
      </c>
      <c r="M20" s="28">
        <f t="shared" si="5"/>
        <v>9.1703780365551879E-2</v>
      </c>
      <c r="N20" s="28">
        <f t="shared" si="5"/>
        <v>0.16084024164783373</v>
      </c>
      <c r="O20" s="28">
        <f t="shared" si="5"/>
        <v>0.12214745187681947</v>
      </c>
    </row>
    <row r="21" spans="1:15" x14ac:dyDescent="0.3">
      <c r="I21" s="43" t="s">
        <v>32</v>
      </c>
      <c r="J21" s="46">
        <f>MIN(J3:J18)</f>
        <v>0.69</v>
      </c>
      <c r="K21" s="46">
        <f t="shared" ref="K21:N21" si="6">MIN(K3:K18)</f>
        <v>0.39</v>
      </c>
      <c r="L21" s="46">
        <f t="shared" si="6"/>
        <v>0.59</v>
      </c>
      <c r="M21" s="46">
        <f t="shared" si="6"/>
        <v>0.61</v>
      </c>
      <c r="N21" s="46">
        <f t="shared" si="6"/>
        <v>0.67</v>
      </c>
      <c r="O21" s="46">
        <f t="shared" ref="O21" si="7">MIN(O3:O18)</f>
        <v>0.64</v>
      </c>
    </row>
    <row r="22" spans="1:15" x14ac:dyDescent="0.3">
      <c r="I22" s="43" t="s">
        <v>33</v>
      </c>
      <c r="J22" s="46">
        <f>MAX(J3:J18)</f>
        <v>1</v>
      </c>
      <c r="K22" s="46">
        <f t="shared" ref="K22:N22" si="8">MAX(K3:K18)</f>
        <v>1</v>
      </c>
      <c r="L22" s="46">
        <f t="shared" si="8"/>
        <v>0.99</v>
      </c>
      <c r="M22" s="46">
        <f t="shared" si="8"/>
        <v>0.9</v>
      </c>
      <c r="N22" s="46">
        <f t="shared" si="8"/>
        <v>1.1499999999999999</v>
      </c>
      <c r="O22" s="46">
        <f t="shared" ref="O22" si="9">MAX(O3:O18)</f>
        <v>0.99</v>
      </c>
    </row>
  </sheetData>
  <mergeCells count="2">
    <mergeCell ref="A1:G1"/>
    <mergeCell ref="I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82D7F-56BD-4997-89C5-2B88905262DE}">
  <dimension ref="A1:AB20"/>
  <sheetViews>
    <sheetView tabSelected="1" topLeftCell="M1" zoomScaleNormal="100" workbookViewId="0">
      <selection activeCell="W29" sqref="W29"/>
    </sheetView>
  </sheetViews>
  <sheetFormatPr baseColWidth="10" defaultColWidth="11.44140625" defaultRowHeight="14.4" x14ac:dyDescent="0.3"/>
  <cols>
    <col min="17" max="17" width="15.88671875" customWidth="1"/>
    <col min="18" max="18" width="15" customWidth="1"/>
  </cols>
  <sheetData>
    <row r="1" spans="1:28" x14ac:dyDescent="0.3">
      <c r="B1" s="93" t="s">
        <v>43</v>
      </c>
      <c r="C1" s="93"/>
      <c r="D1" s="93"/>
      <c r="E1" s="93"/>
      <c r="F1" s="93"/>
      <c r="J1" s="93" t="s">
        <v>44</v>
      </c>
      <c r="K1" s="93"/>
      <c r="L1" s="93"/>
      <c r="M1" s="93"/>
      <c r="N1" s="93"/>
      <c r="Q1" s="93" t="s">
        <v>45</v>
      </c>
      <c r="R1" s="93"/>
      <c r="S1" s="93"/>
      <c r="T1" s="93"/>
      <c r="U1" s="93"/>
      <c r="X1" s="76" t="s">
        <v>46</v>
      </c>
      <c r="Y1" s="76" t="s">
        <v>47</v>
      </c>
      <c r="Z1" s="76" t="s">
        <v>48</v>
      </c>
      <c r="AA1" s="76" t="s">
        <v>49</v>
      </c>
      <c r="AB1" s="76" t="s">
        <v>50</v>
      </c>
    </row>
    <row r="2" spans="1:28" x14ac:dyDescent="0.3">
      <c r="A2" s="8"/>
      <c r="B2" s="19" t="s">
        <v>58</v>
      </c>
      <c r="C2" s="19" t="s">
        <v>51</v>
      </c>
      <c r="D2" s="19" t="s">
        <v>48</v>
      </c>
      <c r="E2" s="19" t="s">
        <v>130</v>
      </c>
      <c r="F2" s="19" t="s">
        <v>131</v>
      </c>
      <c r="I2" s="8"/>
      <c r="J2" s="19" t="s">
        <v>58</v>
      </c>
      <c r="K2" s="19" t="s">
        <v>51</v>
      </c>
      <c r="L2" s="19" t="s">
        <v>48</v>
      </c>
      <c r="M2" s="19" t="s">
        <v>130</v>
      </c>
      <c r="N2" s="19" t="s">
        <v>131</v>
      </c>
      <c r="Q2" s="8"/>
      <c r="R2" s="73" t="s">
        <v>155</v>
      </c>
      <c r="S2" s="73" t="s">
        <v>156</v>
      </c>
      <c r="T2" s="3" t="s">
        <v>157</v>
      </c>
      <c r="U2" s="3" t="s">
        <v>158</v>
      </c>
      <c r="W2" s="8" t="s">
        <v>35</v>
      </c>
      <c r="X2" s="24" cm="1">
        <f t="array" ref="X2:AB2">(J17:N17)*10</f>
        <v>26</v>
      </c>
      <c r="Y2" s="24">
        <v>40.714285714285708</v>
      </c>
      <c r="Z2" s="24">
        <v>32.214285714285715</v>
      </c>
      <c r="AA2" s="24">
        <v>23.500000000000007</v>
      </c>
      <c r="AB2" s="24">
        <v>20.5</v>
      </c>
    </row>
    <row r="3" spans="1:28" x14ac:dyDescent="0.3">
      <c r="A3" s="3" t="s">
        <v>8</v>
      </c>
      <c r="B3" s="20">
        <v>2.2999999999999998</v>
      </c>
      <c r="C3" s="20">
        <v>5.5</v>
      </c>
      <c r="D3" s="20">
        <v>4.3</v>
      </c>
      <c r="E3" s="20">
        <v>2.5</v>
      </c>
      <c r="F3" s="20">
        <v>1.7</v>
      </c>
      <c r="I3" s="3" t="s">
        <v>22</v>
      </c>
      <c r="J3" s="20">
        <v>0</v>
      </c>
      <c r="K3" s="20">
        <v>0</v>
      </c>
      <c r="L3" s="20">
        <v>0</v>
      </c>
      <c r="M3" s="20">
        <v>0</v>
      </c>
      <c r="N3" s="20">
        <v>0</v>
      </c>
      <c r="Q3" s="25" t="s">
        <v>52</v>
      </c>
      <c r="R3" s="38" t="s">
        <v>53</v>
      </c>
      <c r="S3" s="48">
        <v>0.57699999999999996</v>
      </c>
      <c r="T3" s="8">
        <v>38.14</v>
      </c>
      <c r="U3" s="8" t="s">
        <v>170</v>
      </c>
      <c r="W3" s="8" t="s">
        <v>34</v>
      </c>
      <c r="X3" s="24" cm="1">
        <f t="array" ref="X3:AB3">(B19:F19)*10</f>
        <v>36.125</v>
      </c>
      <c r="Y3" s="24">
        <v>64.625</v>
      </c>
      <c r="Z3" s="24">
        <v>36.375000000000007</v>
      </c>
      <c r="AA3" s="24">
        <v>27.562499999999996</v>
      </c>
      <c r="AB3" s="24">
        <v>24</v>
      </c>
    </row>
    <row r="4" spans="1:28" x14ac:dyDescent="0.3">
      <c r="A4" s="11" t="s">
        <v>12</v>
      </c>
      <c r="B4" s="20">
        <v>6.9</v>
      </c>
      <c r="C4" s="20">
        <v>10</v>
      </c>
      <c r="D4" s="20">
        <v>6.2</v>
      </c>
      <c r="E4" s="20">
        <v>5</v>
      </c>
      <c r="F4" s="20">
        <v>4.5999999999999996</v>
      </c>
      <c r="I4" s="3" t="s">
        <v>3</v>
      </c>
      <c r="J4" s="8">
        <v>2.8</v>
      </c>
      <c r="K4" s="8">
        <v>2.2999999999999998</v>
      </c>
      <c r="L4" s="8">
        <v>1.9</v>
      </c>
      <c r="M4" s="8">
        <v>2.1</v>
      </c>
      <c r="N4" s="8">
        <v>2.9</v>
      </c>
      <c r="Q4" s="25" t="s">
        <v>54</v>
      </c>
      <c r="R4" s="69">
        <v>0.26</v>
      </c>
      <c r="S4" s="48">
        <v>4.4999999999999998E-2</v>
      </c>
      <c r="T4" s="8">
        <v>1.32</v>
      </c>
      <c r="U4" s="8" t="s">
        <v>160</v>
      </c>
      <c r="W4" s="8" t="s">
        <v>56</v>
      </c>
      <c r="X4" s="24" cm="1">
        <f t="array" ref="X4:AB4">(J18:N18)*10</f>
        <v>22.37787368740004</v>
      </c>
      <c r="Y4" s="24">
        <v>22.645864188305218</v>
      </c>
      <c r="Z4" s="24">
        <v>23.350765335599647</v>
      </c>
      <c r="AA4" s="24">
        <v>16.869407905345192</v>
      </c>
      <c r="AB4" s="24">
        <v>15.220178913332333</v>
      </c>
    </row>
    <row r="5" spans="1:28" x14ac:dyDescent="0.3">
      <c r="A5" s="11" t="s">
        <v>4</v>
      </c>
      <c r="B5" s="20">
        <v>2.2999999999999998</v>
      </c>
      <c r="C5" s="20">
        <v>5.5</v>
      </c>
      <c r="D5" s="20">
        <v>1</v>
      </c>
      <c r="E5" s="20">
        <v>1</v>
      </c>
      <c r="F5" s="20">
        <v>0.8</v>
      </c>
      <c r="I5" s="3" t="s">
        <v>36</v>
      </c>
      <c r="J5" s="8">
        <v>3.4</v>
      </c>
      <c r="K5" s="8">
        <v>3.4</v>
      </c>
      <c r="L5" s="8">
        <v>3.6</v>
      </c>
      <c r="M5" s="8">
        <v>4.3</v>
      </c>
      <c r="N5" s="8">
        <v>3.8</v>
      </c>
      <c r="Q5" s="25" t="s">
        <v>55</v>
      </c>
      <c r="R5" s="38" t="s">
        <v>53</v>
      </c>
      <c r="S5" s="48">
        <v>0.154</v>
      </c>
      <c r="T5" s="8">
        <v>5.0999999999999996</v>
      </c>
      <c r="U5" s="8" t="s">
        <v>170</v>
      </c>
      <c r="W5" s="8" t="s">
        <v>57</v>
      </c>
      <c r="X5" s="24" cm="1">
        <f t="array" ref="X5:AB5">(B20:F20)*10</f>
        <v>27.579883973650063</v>
      </c>
      <c r="Y5" s="24">
        <v>25.062255817596824</v>
      </c>
      <c r="Z5" s="24">
        <v>26.389076022728286</v>
      </c>
      <c r="AA5" s="24">
        <v>25.843035812380876</v>
      </c>
      <c r="AB5" s="24">
        <v>26.341348991019167</v>
      </c>
    </row>
    <row r="6" spans="1:28" x14ac:dyDescent="0.3">
      <c r="A6" s="11" t="s">
        <v>5</v>
      </c>
      <c r="B6" s="20">
        <v>9.1999999999999993</v>
      </c>
      <c r="C6" s="20">
        <v>10</v>
      </c>
      <c r="D6" s="20">
        <v>9</v>
      </c>
      <c r="E6" s="20">
        <v>8.1</v>
      </c>
      <c r="F6" s="20">
        <v>8.4</v>
      </c>
      <c r="I6" s="3" t="s">
        <v>25</v>
      </c>
      <c r="J6" s="8">
        <v>2.4</v>
      </c>
      <c r="K6" s="8">
        <v>6.4</v>
      </c>
      <c r="L6" s="8">
        <v>5.7</v>
      </c>
      <c r="M6" s="8">
        <v>3.4</v>
      </c>
      <c r="N6" s="8">
        <v>2.7</v>
      </c>
      <c r="Q6" s="8"/>
      <c r="R6" s="8"/>
      <c r="S6" s="8"/>
      <c r="T6" s="8"/>
      <c r="U6" s="8"/>
    </row>
    <row r="7" spans="1:28" x14ac:dyDescent="0.3">
      <c r="A7" s="35" t="s">
        <v>39</v>
      </c>
      <c r="B7" s="21">
        <v>6.3</v>
      </c>
      <c r="C7" s="20">
        <v>9.5</v>
      </c>
      <c r="D7" s="21">
        <v>7.8</v>
      </c>
      <c r="E7" s="21">
        <v>7</v>
      </c>
      <c r="F7" s="21">
        <v>7.5</v>
      </c>
      <c r="I7" s="3" t="s">
        <v>16</v>
      </c>
      <c r="J7" s="8">
        <v>7.8</v>
      </c>
      <c r="K7" s="8">
        <v>6.4</v>
      </c>
      <c r="L7" s="8">
        <v>8.3000000000000007</v>
      </c>
      <c r="M7" s="8">
        <v>3.3</v>
      </c>
      <c r="N7" s="8">
        <v>1.5</v>
      </c>
      <c r="Q7" s="25" t="s">
        <v>58</v>
      </c>
      <c r="R7" s="3" t="s">
        <v>59</v>
      </c>
      <c r="S7" s="53" t="s">
        <v>60</v>
      </c>
      <c r="T7" s="8"/>
      <c r="U7" s="8"/>
    </row>
    <row r="8" spans="1:28" x14ac:dyDescent="0.3">
      <c r="A8" s="11" t="s">
        <v>9</v>
      </c>
      <c r="B8" s="20">
        <v>3.3</v>
      </c>
      <c r="C8" s="20">
        <v>6.5</v>
      </c>
      <c r="D8" s="20">
        <v>3</v>
      </c>
      <c r="E8" s="20">
        <v>1.9</v>
      </c>
      <c r="F8" s="20">
        <v>1.4</v>
      </c>
      <c r="I8" s="3" t="s">
        <v>26</v>
      </c>
      <c r="J8" s="8">
        <v>5.4</v>
      </c>
      <c r="K8" s="8">
        <v>9</v>
      </c>
      <c r="L8" s="8">
        <v>6</v>
      </c>
      <c r="M8" s="8">
        <v>4.8</v>
      </c>
      <c r="N8" s="8">
        <v>4.0999999999999996</v>
      </c>
      <c r="Q8" s="25" t="s">
        <v>59</v>
      </c>
      <c r="R8" s="3" t="s">
        <v>48</v>
      </c>
      <c r="S8" s="53" t="s">
        <v>60</v>
      </c>
      <c r="T8" s="8"/>
      <c r="U8" s="8"/>
    </row>
    <row r="9" spans="1:28" x14ac:dyDescent="0.3">
      <c r="A9" s="11" t="s">
        <v>7</v>
      </c>
      <c r="B9" s="20">
        <v>5.7</v>
      </c>
      <c r="C9" s="20">
        <v>8.9</v>
      </c>
      <c r="D9" s="20">
        <v>5.4</v>
      </c>
      <c r="E9" s="20">
        <v>5</v>
      </c>
      <c r="F9" s="20">
        <v>4.5</v>
      </c>
      <c r="I9" s="3" t="s">
        <v>19</v>
      </c>
      <c r="J9" s="8">
        <v>0</v>
      </c>
      <c r="K9" s="8">
        <v>1.8</v>
      </c>
      <c r="L9" s="8">
        <v>1.1000000000000001</v>
      </c>
      <c r="M9" s="8">
        <v>0</v>
      </c>
      <c r="N9" s="8">
        <v>0</v>
      </c>
      <c r="Q9" s="25" t="s">
        <v>59</v>
      </c>
      <c r="R9" s="3" t="s">
        <v>61</v>
      </c>
      <c r="S9" s="53" t="s">
        <v>60</v>
      </c>
      <c r="T9" s="8"/>
      <c r="U9" s="8"/>
    </row>
    <row r="10" spans="1:28" x14ac:dyDescent="0.3">
      <c r="A10" s="11" t="s">
        <v>14</v>
      </c>
      <c r="B10" s="20">
        <v>3.4</v>
      </c>
      <c r="C10" s="20">
        <v>6.6</v>
      </c>
      <c r="D10" s="20">
        <v>1.2</v>
      </c>
      <c r="E10" s="20">
        <v>1.8</v>
      </c>
      <c r="F10" s="20">
        <v>3.3</v>
      </c>
      <c r="I10" s="3" t="s">
        <v>24</v>
      </c>
      <c r="J10" s="8">
        <v>2.4</v>
      </c>
      <c r="K10" s="8">
        <v>2.2999999999999998</v>
      </c>
      <c r="L10" s="8">
        <v>2.5</v>
      </c>
      <c r="M10" s="8">
        <v>3.2</v>
      </c>
      <c r="N10" s="8">
        <v>2.9</v>
      </c>
      <c r="Q10" s="25" t="s">
        <v>59</v>
      </c>
      <c r="R10" s="3" t="s">
        <v>62</v>
      </c>
      <c r="S10" s="53" t="s">
        <v>60</v>
      </c>
      <c r="T10" s="8"/>
      <c r="U10" s="8"/>
    </row>
    <row r="11" spans="1:28" x14ac:dyDescent="0.3">
      <c r="A11" s="11" t="s">
        <v>11</v>
      </c>
      <c r="B11" s="20">
        <v>7.5</v>
      </c>
      <c r="C11" s="20">
        <v>10</v>
      </c>
      <c r="D11" s="20">
        <v>5.9</v>
      </c>
      <c r="E11" s="20">
        <v>5.7</v>
      </c>
      <c r="F11" s="20">
        <v>2.5</v>
      </c>
      <c r="I11" s="3" t="s">
        <v>21</v>
      </c>
      <c r="J11" s="8">
        <v>2.9</v>
      </c>
      <c r="K11" s="8">
        <v>3.9</v>
      </c>
      <c r="L11" s="8">
        <v>3.5</v>
      </c>
      <c r="M11" s="8">
        <v>3.7</v>
      </c>
      <c r="N11" s="8">
        <v>2.9</v>
      </c>
      <c r="Q11" s="14" t="s">
        <v>48</v>
      </c>
      <c r="R11" s="14" t="s">
        <v>61</v>
      </c>
      <c r="S11" s="54">
        <v>8.0000000000000002E-3</v>
      </c>
      <c r="T11" s="8"/>
      <c r="U11" s="8"/>
    </row>
    <row r="12" spans="1:28" x14ac:dyDescent="0.3">
      <c r="A12" s="11" t="s">
        <v>10</v>
      </c>
      <c r="B12" s="20">
        <v>1.1000000000000001</v>
      </c>
      <c r="C12" s="20">
        <v>4.3000000000000007</v>
      </c>
      <c r="D12" s="20">
        <v>1</v>
      </c>
      <c r="E12" s="20">
        <v>1</v>
      </c>
      <c r="F12" s="20">
        <v>0.5</v>
      </c>
      <c r="I12" s="3" t="s">
        <v>6</v>
      </c>
      <c r="J12" s="8">
        <v>2.8</v>
      </c>
      <c r="K12" s="8">
        <v>3.7</v>
      </c>
      <c r="L12" s="8">
        <v>4.5</v>
      </c>
      <c r="M12" s="8">
        <v>2.6</v>
      </c>
      <c r="N12" s="8">
        <v>2.6</v>
      </c>
      <c r="Q12" s="14" t="s">
        <v>48</v>
      </c>
      <c r="R12" s="14" t="s">
        <v>62</v>
      </c>
      <c r="S12" s="54">
        <v>6.0000000000000001E-3</v>
      </c>
      <c r="T12" s="8"/>
      <c r="U12" s="8"/>
    </row>
    <row r="13" spans="1:28" x14ac:dyDescent="0.3">
      <c r="A13" s="11" t="s">
        <v>17</v>
      </c>
      <c r="B13" s="20">
        <v>3.1</v>
      </c>
      <c r="C13" s="20">
        <v>5.2</v>
      </c>
      <c r="D13" s="20">
        <v>3.2</v>
      </c>
      <c r="E13" s="20">
        <v>1</v>
      </c>
      <c r="F13" s="20">
        <v>0</v>
      </c>
      <c r="I13" s="3" t="s">
        <v>29</v>
      </c>
      <c r="J13" s="8">
        <v>2.4</v>
      </c>
      <c r="K13" s="8">
        <v>4.8</v>
      </c>
      <c r="L13" s="8">
        <v>2.9</v>
      </c>
      <c r="M13" s="8">
        <v>1.7</v>
      </c>
      <c r="N13" s="8">
        <v>1.3</v>
      </c>
      <c r="Q13" s="8"/>
      <c r="R13" s="8"/>
      <c r="S13" s="8"/>
      <c r="T13" s="8"/>
      <c r="U13" s="8"/>
    </row>
    <row r="14" spans="1:28" x14ac:dyDescent="0.3">
      <c r="A14" s="11" t="s">
        <v>13</v>
      </c>
      <c r="B14" s="20">
        <v>3.7</v>
      </c>
      <c r="C14" s="20">
        <v>6.5</v>
      </c>
      <c r="D14" s="20">
        <v>4</v>
      </c>
      <c r="E14" s="20">
        <v>2.2999999999999998</v>
      </c>
      <c r="F14" s="20">
        <v>1.7</v>
      </c>
      <c r="I14" s="3" t="s">
        <v>28</v>
      </c>
      <c r="J14" s="8">
        <v>0</v>
      </c>
      <c r="K14" s="8">
        <v>4</v>
      </c>
      <c r="L14" s="8">
        <v>0</v>
      </c>
      <c r="M14" s="8">
        <v>0</v>
      </c>
      <c r="N14" s="8">
        <v>0</v>
      </c>
      <c r="Q14" s="71" t="s">
        <v>63</v>
      </c>
      <c r="R14" s="71" t="s">
        <v>64</v>
      </c>
      <c r="S14" s="55">
        <v>0.05</v>
      </c>
      <c r="T14" s="8"/>
      <c r="U14" s="8"/>
    </row>
    <row r="15" spans="1:28" x14ac:dyDescent="0.3">
      <c r="A15" s="11" t="s">
        <v>15</v>
      </c>
      <c r="B15" s="20">
        <v>0</v>
      </c>
      <c r="C15" s="20">
        <v>2.9</v>
      </c>
      <c r="D15" s="20">
        <v>1.5</v>
      </c>
      <c r="E15" s="20">
        <v>0</v>
      </c>
      <c r="F15" s="20">
        <v>0</v>
      </c>
      <c r="I15" s="3" t="s">
        <v>27</v>
      </c>
      <c r="J15" s="8">
        <v>0</v>
      </c>
      <c r="K15" s="8">
        <v>5.5</v>
      </c>
      <c r="L15" s="8">
        <v>1.9</v>
      </c>
      <c r="M15" s="8">
        <v>0.3</v>
      </c>
      <c r="N15" s="8">
        <v>0.2</v>
      </c>
      <c r="Q15" s="71" t="s">
        <v>65</v>
      </c>
      <c r="R15" s="71" t="s">
        <v>66</v>
      </c>
      <c r="S15" s="53" t="s">
        <v>60</v>
      </c>
      <c r="T15" s="8"/>
      <c r="U15" s="8"/>
    </row>
    <row r="16" spans="1:28" x14ac:dyDescent="0.3">
      <c r="A16" s="11" t="s">
        <v>42</v>
      </c>
      <c r="B16" s="20">
        <v>1.2</v>
      </c>
      <c r="C16" s="20">
        <v>4.2</v>
      </c>
      <c r="D16" s="20">
        <v>3.2</v>
      </c>
      <c r="E16" s="20">
        <v>0</v>
      </c>
      <c r="F16" s="20">
        <v>0</v>
      </c>
      <c r="I16" s="3" t="s">
        <v>23</v>
      </c>
      <c r="J16" s="8">
        <v>4.0999999999999996</v>
      </c>
      <c r="K16" s="8">
        <v>3.5</v>
      </c>
      <c r="L16" s="8">
        <v>3.2</v>
      </c>
      <c r="M16" s="8">
        <v>3.5</v>
      </c>
      <c r="N16" s="8">
        <v>3.8</v>
      </c>
      <c r="Q16" s="71" t="s">
        <v>64</v>
      </c>
      <c r="R16" s="71" t="s">
        <v>67</v>
      </c>
      <c r="S16" s="53">
        <v>1.4E-2</v>
      </c>
      <c r="T16" s="8"/>
      <c r="U16" s="8"/>
    </row>
    <row r="17" spans="1:21" x14ac:dyDescent="0.3">
      <c r="A17" s="11" t="s">
        <v>18</v>
      </c>
      <c r="B17" s="20">
        <v>0</v>
      </c>
      <c r="C17" s="20">
        <v>5</v>
      </c>
      <c r="D17" s="20">
        <v>0</v>
      </c>
      <c r="E17" s="20">
        <v>0</v>
      </c>
      <c r="F17" s="20">
        <v>0</v>
      </c>
      <c r="I17" s="36" t="s">
        <v>151</v>
      </c>
      <c r="J17" s="22">
        <f>AVERAGE(J3:J16)</f>
        <v>2.6</v>
      </c>
      <c r="K17" s="22">
        <f>AVERAGE(K3:K16)</f>
        <v>4.0714285714285712</v>
      </c>
      <c r="L17" s="22">
        <f>AVERAGE(L3:L16)</f>
        <v>3.2214285714285715</v>
      </c>
      <c r="M17" s="22">
        <f>AVERAGE(M3:M16)</f>
        <v>2.3500000000000005</v>
      </c>
      <c r="N17" s="22">
        <f>AVERAGE(N3:N16)</f>
        <v>2.0499999999999998</v>
      </c>
      <c r="Q17" s="71" t="s">
        <v>64</v>
      </c>
      <c r="R17" s="71" t="s">
        <v>68</v>
      </c>
      <c r="S17" s="53">
        <v>1.6E-2</v>
      </c>
      <c r="T17" s="8"/>
      <c r="U17" s="8"/>
    </row>
    <row r="18" spans="1:21" x14ac:dyDescent="0.3">
      <c r="A18" s="11" t="s">
        <v>20</v>
      </c>
      <c r="B18" s="20">
        <v>1.8</v>
      </c>
      <c r="C18" s="20">
        <v>2.8</v>
      </c>
      <c r="D18" s="20">
        <v>1.5</v>
      </c>
      <c r="E18" s="20">
        <v>1.8</v>
      </c>
      <c r="F18" s="20">
        <v>1.5</v>
      </c>
      <c r="I18" s="5" t="s">
        <v>31</v>
      </c>
      <c r="J18" s="23">
        <f>+_xlfn.STDEV.S(J3:J16)</f>
        <v>2.2377873687400038</v>
      </c>
      <c r="K18" s="23">
        <f>+_xlfn.STDEV.S(K3:K16)</f>
        <v>2.2645864188305218</v>
      </c>
      <c r="L18" s="23">
        <f>+_xlfn.STDEV.S(L3:L16)</f>
        <v>2.3350765335599646</v>
      </c>
      <c r="M18" s="23">
        <f>+_xlfn.STDEV.S(M3:M16)</f>
        <v>1.6869407905345193</v>
      </c>
      <c r="N18" s="23">
        <f>+_xlfn.STDEV.S(N3:N16)</f>
        <v>1.5220178913332334</v>
      </c>
      <c r="Q18" s="71" t="s">
        <v>66</v>
      </c>
      <c r="R18" s="71" t="s">
        <v>69</v>
      </c>
      <c r="S18" s="53" t="s">
        <v>60</v>
      </c>
      <c r="T18" s="8"/>
      <c r="U18" s="8"/>
    </row>
    <row r="19" spans="1:21" x14ac:dyDescent="0.3">
      <c r="A19" s="36" t="s">
        <v>151</v>
      </c>
      <c r="B19" s="22">
        <f>AVERAGE(B3:B18)</f>
        <v>3.6125000000000003</v>
      </c>
      <c r="C19" s="22">
        <f>AVERAGE(C3:C18)</f>
        <v>6.4625000000000004</v>
      </c>
      <c r="D19" s="22">
        <f>AVERAGE(D3:D18)</f>
        <v>3.6375000000000006</v>
      </c>
      <c r="E19" s="22">
        <f>AVERAGE(E3:E18)</f>
        <v>2.7562499999999996</v>
      </c>
      <c r="F19" s="22">
        <f>AVERAGE(F3:F18)</f>
        <v>2.4</v>
      </c>
      <c r="Q19" s="71" t="s">
        <v>66</v>
      </c>
      <c r="R19" s="71" t="s">
        <v>70</v>
      </c>
      <c r="S19" s="53" t="s">
        <v>60</v>
      </c>
      <c r="T19" s="8"/>
      <c r="U19" s="8"/>
    </row>
    <row r="20" spans="1:21" x14ac:dyDescent="0.3">
      <c r="A20" s="5" t="s">
        <v>31</v>
      </c>
      <c r="B20" s="23">
        <f>+_xlfn.STDEV.S(B3:B18)</f>
        <v>2.7579883973650063</v>
      </c>
      <c r="C20" s="23">
        <f>+_xlfn.STDEV.S(C3:C18)</f>
        <v>2.5062255817596824</v>
      </c>
      <c r="D20" s="23">
        <f>+_xlfn.STDEV.S(D3:D18)</f>
        <v>2.6389076022728286</v>
      </c>
      <c r="E20" s="23">
        <f>+_xlfn.STDEV.S(E3:E18)</f>
        <v>2.5843035812380877</v>
      </c>
      <c r="F20" s="23">
        <f>+_xlfn.STDEV.S(F3:F18)</f>
        <v>2.6341348991019169</v>
      </c>
      <c r="Q20" s="71" t="s">
        <v>66</v>
      </c>
      <c r="R20" s="71" t="s">
        <v>71</v>
      </c>
      <c r="S20" s="53" t="s">
        <v>60</v>
      </c>
      <c r="T20" s="8"/>
      <c r="U20" s="8"/>
    </row>
  </sheetData>
  <mergeCells count="3">
    <mergeCell ref="B1:F1"/>
    <mergeCell ref="J1:N1"/>
    <mergeCell ref="Q1:U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6973-1DC5-4C0D-86E5-F42F31BDA192}">
  <dimension ref="A1:AQ20"/>
  <sheetViews>
    <sheetView topLeftCell="H1" zoomScale="70" zoomScaleNormal="70" workbookViewId="0">
      <selection activeCell="AT18" sqref="AT18"/>
    </sheetView>
  </sheetViews>
  <sheetFormatPr baseColWidth="10" defaultColWidth="11.44140625" defaultRowHeight="14.4" x14ac:dyDescent="0.3"/>
  <cols>
    <col min="29" max="31" width="11.44140625" customWidth="1"/>
  </cols>
  <sheetData>
    <row r="1" spans="1:43" x14ac:dyDescent="0.3">
      <c r="B1" s="93" t="s">
        <v>138</v>
      </c>
      <c r="C1" s="93"/>
      <c r="D1" s="93"/>
      <c r="E1" s="93"/>
      <c r="H1" s="93" t="s">
        <v>140</v>
      </c>
      <c r="I1" s="93"/>
      <c r="J1" s="93"/>
      <c r="K1" s="93"/>
      <c r="N1" s="93" t="s">
        <v>139</v>
      </c>
      <c r="O1" s="93"/>
      <c r="P1" s="93"/>
      <c r="Q1" s="93"/>
      <c r="S1" s="93" t="s">
        <v>141</v>
      </c>
      <c r="T1" s="93"/>
      <c r="U1" s="93"/>
      <c r="V1" s="93"/>
      <c r="W1" s="93"/>
      <c r="Z1" s="93" t="s">
        <v>149</v>
      </c>
      <c r="AA1" s="93"/>
      <c r="AB1" s="93"/>
      <c r="AC1" s="93"/>
      <c r="AD1" s="93"/>
      <c r="AH1" s="76" t="s">
        <v>46</v>
      </c>
      <c r="AI1" s="76" t="s">
        <v>48</v>
      </c>
      <c r="AJ1" s="76" t="s">
        <v>49</v>
      </c>
      <c r="AK1" s="76" t="s">
        <v>50</v>
      </c>
      <c r="AN1" s="76" t="s">
        <v>46</v>
      </c>
      <c r="AO1" s="76" t="s">
        <v>48</v>
      </c>
      <c r="AP1" s="76" t="s">
        <v>49</v>
      </c>
      <c r="AQ1" s="76" t="s">
        <v>50</v>
      </c>
    </row>
    <row r="2" spans="1:43" x14ac:dyDescent="0.3">
      <c r="A2" s="8"/>
      <c r="B2" s="19" t="s">
        <v>58</v>
      </c>
      <c r="C2" s="19" t="s">
        <v>48</v>
      </c>
      <c r="D2" s="19" t="s">
        <v>130</v>
      </c>
      <c r="E2" s="19" t="s">
        <v>131</v>
      </c>
      <c r="G2" s="8"/>
      <c r="H2" s="19" t="s">
        <v>58</v>
      </c>
      <c r="I2" s="19" t="s">
        <v>48</v>
      </c>
      <c r="J2" s="19" t="s">
        <v>130</v>
      </c>
      <c r="K2" s="19" t="s">
        <v>131</v>
      </c>
      <c r="M2" s="8"/>
      <c r="N2" s="19" t="s">
        <v>58</v>
      </c>
      <c r="O2" s="19" t="s">
        <v>48</v>
      </c>
      <c r="P2" s="19" t="s">
        <v>130</v>
      </c>
      <c r="Q2" s="19" t="s">
        <v>131</v>
      </c>
      <c r="S2" s="8"/>
      <c r="T2" s="19" t="s">
        <v>58</v>
      </c>
      <c r="U2" s="19" t="s">
        <v>48</v>
      </c>
      <c r="V2" s="19" t="s">
        <v>130</v>
      </c>
      <c r="W2" s="19" t="s">
        <v>131</v>
      </c>
      <c r="Z2" s="8"/>
      <c r="AA2" s="73" t="s">
        <v>155</v>
      </c>
      <c r="AB2" s="73" t="s">
        <v>156</v>
      </c>
      <c r="AC2" s="3" t="s">
        <v>157</v>
      </c>
      <c r="AD2" s="3" t="s">
        <v>158</v>
      </c>
      <c r="AG2" s="8" t="s">
        <v>35</v>
      </c>
      <c r="AH2" s="24" cm="1">
        <f t="array" ref="AH2:AK2">N17:Q17</f>
        <v>120.92857142857143</v>
      </c>
      <c r="AI2" s="24">
        <v>120.64285714285714</v>
      </c>
      <c r="AJ2" s="24">
        <v>119.5</v>
      </c>
      <c r="AK2" s="24">
        <v>120.21428571428571</v>
      </c>
      <c r="AM2" s="8" t="s">
        <v>35</v>
      </c>
      <c r="AN2" s="24" cm="1">
        <f t="array" ref="AN2:AQ2">T17:W17</f>
        <v>73.142857142857139</v>
      </c>
      <c r="AO2" s="24">
        <v>72.571428571428569</v>
      </c>
      <c r="AP2" s="24">
        <v>75.714285714285708</v>
      </c>
      <c r="AQ2" s="24">
        <v>75.214285714285708</v>
      </c>
    </row>
    <row r="3" spans="1:43" x14ac:dyDescent="0.3">
      <c r="A3" s="3" t="s">
        <v>8</v>
      </c>
      <c r="B3" s="12">
        <v>102</v>
      </c>
      <c r="C3" s="12">
        <v>102</v>
      </c>
      <c r="D3" s="12">
        <v>99</v>
      </c>
      <c r="E3" s="12">
        <v>98</v>
      </c>
      <c r="G3" s="3" t="s">
        <v>8</v>
      </c>
      <c r="H3" s="12">
        <v>68</v>
      </c>
      <c r="I3" s="12">
        <v>64</v>
      </c>
      <c r="J3" s="12">
        <v>65</v>
      </c>
      <c r="K3" s="12">
        <v>64</v>
      </c>
      <c r="M3" s="3" t="s">
        <v>22</v>
      </c>
      <c r="N3" s="12">
        <v>102</v>
      </c>
      <c r="O3" s="12">
        <v>101</v>
      </c>
      <c r="P3" s="12">
        <v>108</v>
      </c>
      <c r="Q3" s="12">
        <v>103</v>
      </c>
      <c r="S3" s="3" t="s">
        <v>22</v>
      </c>
      <c r="T3" s="12">
        <v>62</v>
      </c>
      <c r="U3" s="12">
        <v>66</v>
      </c>
      <c r="V3" s="12">
        <v>74</v>
      </c>
      <c r="W3" s="12">
        <v>67</v>
      </c>
      <c r="Z3" s="25" t="s">
        <v>52</v>
      </c>
      <c r="AA3" s="40">
        <v>0.70599999999999996</v>
      </c>
      <c r="AB3" s="48">
        <v>1.6E-2</v>
      </c>
      <c r="AC3" s="8">
        <v>0.46600000000000003</v>
      </c>
      <c r="AD3" s="8" t="s">
        <v>171</v>
      </c>
      <c r="AG3" s="8" t="s">
        <v>34</v>
      </c>
      <c r="AH3" s="24" cm="1">
        <f t="array" ref="AH3:AK3">B19:E19</f>
        <v>122.5</v>
      </c>
      <c r="AI3" s="24">
        <v>124.375</v>
      </c>
      <c r="AJ3" s="24">
        <v>124.5</v>
      </c>
      <c r="AK3" s="24">
        <v>125.9375</v>
      </c>
      <c r="AM3" s="8" t="s">
        <v>34</v>
      </c>
      <c r="AN3" s="24" cm="1">
        <f t="array" ref="AN3:AQ3">H19:K19</f>
        <v>74.625</v>
      </c>
      <c r="AO3" s="24">
        <v>75.875</v>
      </c>
      <c r="AP3" s="24">
        <v>75.6875</v>
      </c>
      <c r="AQ3" s="24">
        <v>78.125</v>
      </c>
    </row>
    <row r="4" spans="1:43" x14ac:dyDescent="0.3">
      <c r="A4" s="3" t="s">
        <v>12</v>
      </c>
      <c r="B4" s="12">
        <v>152</v>
      </c>
      <c r="C4" s="12">
        <v>164</v>
      </c>
      <c r="D4" s="12">
        <v>158</v>
      </c>
      <c r="E4" s="12">
        <v>148</v>
      </c>
      <c r="G4" s="3" t="s">
        <v>12</v>
      </c>
      <c r="H4" s="12">
        <v>78</v>
      </c>
      <c r="I4" s="12">
        <v>80</v>
      </c>
      <c r="J4" s="12">
        <v>76</v>
      </c>
      <c r="K4" s="12">
        <v>77</v>
      </c>
      <c r="M4" s="3" t="s">
        <v>3</v>
      </c>
      <c r="N4" s="8">
        <v>131</v>
      </c>
      <c r="O4" s="8">
        <v>128</v>
      </c>
      <c r="P4" s="8">
        <v>129</v>
      </c>
      <c r="Q4" s="8">
        <v>128</v>
      </c>
      <c r="S4" s="3" t="s">
        <v>3</v>
      </c>
      <c r="T4" s="8">
        <v>74</v>
      </c>
      <c r="U4" s="8">
        <v>78</v>
      </c>
      <c r="V4" s="8">
        <v>80</v>
      </c>
      <c r="W4" s="8">
        <v>78</v>
      </c>
      <c r="Z4" s="25" t="s">
        <v>54</v>
      </c>
      <c r="AA4" s="40">
        <v>0.48499999999999999</v>
      </c>
      <c r="AB4" s="48">
        <v>1.7999999999999999E-2</v>
      </c>
      <c r="AC4" s="8">
        <v>0.5</v>
      </c>
      <c r="AD4" s="8" t="s">
        <v>160</v>
      </c>
      <c r="AG4" s="8" t="s">
        <v>56</v>
      </c>
      <c r="AH4" s="24" cm="1">
        <f t="array" ref="AH4:AK4">N18:Q18</f>
        <v>13.34434069452025</v>
      </c>
      <c r="AI4" s="24">
        <v>15.450203597648528</v>
      </c>
      <c r="AJ4" s="24">
        <v>13.771486708189721</v>
      </c>
      <c r="AK4" s="24">
        <v>13.319612903988125</v>
      </c>
      <c r="AM4" s="8" t="s">
        <v>56</v>
      </c>
      <c r="AN4" s="24" cm="1">
        <f t="array" ref="AN4:AQ4">T18:W18</f>
        <v>10.174305063073538</v>
      </c>
      <c r="AO4" s="24">
        <v>9.6373814326880503</v>
      </c>
      <c r="AP4" s="24">
        <v>8.9393561240219128</v>
      </c>
      <c r="AQ4" s="24">
        <v>8.3957734002896451</v>
      </c>
    </row>
    <row r="5" spans="1:43" x14ac:dyDescent="0.3">
      <c r="A5" s="3" t="s">
        <v>4</v>
      </c>
      <c r="B5" s="12">
        <v>127</v>
      </c>
      <c r="C5" s="12">
        <v>123</v>
      </c>
      <c r="D5" s="12">
        <v>132</v>
      </c>
      <c r="E5" s="12">
        <v>122</v>
      </c>
      <c r="G5" s="3" t="s">
        <v>4</v>
      </c>
      <c r="H5" s="12">
        <v>78</v>
      </c>
      <c r="I5" s="12">
        <v>76</v>
      </c>
      <c r="J5" s="12">
        <v>80</v>
      </c>
      <c r="K5" s="12">
        <v>76</v>
      </c>
      <c r="M5" s="3" t="s">
        <v>36</v>
      </c>
      <c r="N5" s="8">
        <v>113</v>
      </c>
      <c r="O5" s="8">
        <v>103</v>
      </c>
      <c r="P5" s="8">
        <v>104</v>
      </c>
      <c r="Q5" s="8">
        <v>103</v>
      </c>
      <c r="S5" s="3" t="s">
        <v>36</v>
      </c>
      <c r="T5" s="8">
        <v>64</v>
      </c>
      <c r="U5" s="8">
        <v>62</v>
      </c>
      <c r="V5" s="8">
        <v>65</v>
      </c>
      <c r="W5" s="8">
        <v>62</v>
      </c>
      <c r="Z5" s="25" t="s">
        <v>55</v>
      </c>
      <c r="AA5" s="40">
        <v>0.36299999999999999</v>
      </c>
      <c r="AB5" s="48">
        <v>3.6999999999999998E-2</v>
      </c>
      <c r="AC5" s="8">
        <v>1.077</v>
      </c>
      <c r="AD5" s="8" t="s">
        <v>171</v>
      </c>
      <c r="AG5" s="8" t="s">
        <v>57</v>
      </c>
      <c r="AH5" s="24" cm="1">
        <f t="array" ref="AH5:AK5">B20:E20</f>
        <v>14.071247279470288</v>
      </c>
      <c r="AI5" s="24">
        <v>19.663417810746939</v>
      </c>
      <c r="AJ5" s="24">
        <v>18.381149764545924</v>
      </c>
      <c r="AK5" s="24">
        <v>17.793140063893539</v>
      </c>
      <c r="AM5" s="8" t="s">
        <v>57</v>
      </c>
      <c r="AN5" s="24" cm="1">
        <f t="array" ref="AN5:AQ5">H20:K20</f>
        <v>7.1355915428692152</v>
      </c>
      <c r="AO5" s="24">
        <v>6.6319931644516439</v>
      </c>
      <c r="AP5" s="24">
        <v>9.25</v>
      </c>
      <c r="AQ5" s="24">
        <v>7.9655508284110521</v>
      </c>
    </row>
    <row r="6" spans="1:43" x14ac:dyDescent="0.3">
      <c r="A6" s="3" t="s">
        <v>5</v>
      </c>
      <c r="B6" s="12">
        <v>112</v>
      </c>
      <c r="C6" s="12">
        <v>116</v>
      </c>
      <c r="D6" s="12">
        <v>120</v>
      </c>
      <c r="E6" s="12">
        <v>120</v>
      </c>
      <c r="G6" s="3" t="s">
        <v>5</v>
      </c>
      <c r="H6" s="12">
        <v>66</v>
      </c>
      <c r="I6" s="12">
        <v>69</v>
      </c>
      <c r="J6" s="12">
        <v>69</v>
      </c>
      <c r="K6" s="12">
        <v>72</v>
      </c>
      <c r="M6" s="3" t="s">
        <v>25</v>
      </c>
      <c r="N6" s="8">
        <v>136</v>
      </c>
      <c r="O6" s="8">
        <v>141</v>
      </c>
      <c r="P6" s="8">
        <v>138</v>
      </c>
      <c r="Q6" s="8">
        <v>126</v>
      </c>
      <c r="S6" s="3" t="s">
        <v>25</v>
      </c>
      <c r="T6" s="8">
        <v>94</v>
      </c>
      <c r="U6" s="8">
        <v>93</v>
      </c>
      <c r="V6" s="8">
        <v>94</v>
      </c>
      <c r="W6" s="8">
        <v>85</v>
      </c>
    </row>
    <row r="7" spans="1:43" x14ac:dyDescent="0.3">
      <c r="A7" s="15" t="s">
        <v>39</v>
      </c>
      <c r="B7" s="16">
        <v>152</v>
      </c>
      <c r="C7" s="16">
        <v>170</v>
      </c>
      <c r="D7" s="16">
        <v>166</v>
      </c>
      <c r="E7" s="16">
        <v>170</v>
      </c>
      <c r="G7" s="15" t="s">
        <v>39</v>
      </c>
      <c r="H7" s="16">
        <v>87</v>
      </c>
      <c r="I7" s="16">
        <v>94</v>
      </c>
      <c r="J7" s="16">
        <v>101</v>
      </c>
      <c r="K7" s="16">
        <v>97</v>
      </c>
      <c r="M7" s="3" t="s">
        <v>16</v>
      </c>
      <c r="N7" s="8">
        <v>135</v>
      </c>
      <c r="O7" s="8">
        <v>131</v>
      </c>
      <c r="P7" s="8">
        <v>132</v>
      </c>
      <c r="Q7" s="8">
        <v>127</v>
      </c>
      <c r="S7" s="3" t="s">
        <v>16</v>
      </c>
      <c r="T7" s="8">
        <v>79</v>
      </c>
      <c r="U7" s="8">
        <v>68</v>
      </c>
      <c r="V7" s="8">
        <v>83</v>
      </c>
      <c r="W7" s="8">
        <v>82</v>
      </c>
    </row>
    <row r="8" spans="1:43" x14ac:dyDescent="0.3">
      <c r="A8" s="3" t="s">
        <v>9</v>
      </c>
      <c r="B8" s="12">
        <v>118</v>
      </c>
      <c r="C8" s="12">
        <v>116</v>
      </c>
      <c r="D8" s="12">
        <v>117</v>
      </c>
      <c r="E8" s="12">
        <v>117</v>
      </c>
      <c r="G8" s="3" t="s">
        <v>9</v>
      </c>
      <c r="H8" s="16">
        <v>74</v>
      </c>
      <c r="I8" s="12">
        <v>75</v>
      </c>
      <c r="J8" s="12">
        <v>73</v>
      </c>
      <c r="K8" s="12">
        <v>75</v>
      </c>
      <c r="M8" s="3" t="s">
        <v>26</v>
      </c>
      <c r="N8" s="8">
        <v>118</v>
      </c>
      <c r="O8" s="8">
        <v>120</v>
      </c>
      <c r="P8" s="8">
        <v>117</v>
      </c>
      <c r="Q8" s="8">
        <v>118</v>
      </c>
      <c r="S8" s="3" t="s">
        <v>26</v>
      </c>
      <c r="T8" s="8">
        <v>60</v>
      </c>
      <c r="U8" s="8">
        <v>69</v>
      </c>
      <c r="V8" s="8">
        <v>62</v>
      </c>
      <c r="W8" s="8">
        <v>64</v>
      </c>
    </row>
    <row r="9" spans="1:43" x14ac:dyDescent="0.3">
      <c r="A9" s="3" t="s">
        <v>7</v>
      </c>
      <c r="B9" s="12">
        <v>104</v>
      </c>
      <c r="C9" s="12">
        <v>99</v>
      </c>
      <c r="D9" s="12">
        <v>104</v>
      </c>
      <c r="E9" s="12">
        <v>109</v>
      </c>
      <c r="G9" s="3" t="s">
        <v>7</v>
      </c>
      <c r="H9" s="12">
        <v>68</v>
      </c>
      <c r="I9" s="12">
        <v>71</v>
      </c>
      <c r="J9" s="12">
        <v>72</v>
      </c>
      <c r="K9" s="12">
        <v>71</v>
      </c>
      <c r="M9" s="3" t="s">
        <v>19</v>
      </c>
      <c r="N9" s="8">
        <v>120</v>
      </c>
      <c r="O9" s="8">
        <v>128</v>
      </c>
      <c r="P9" s="8">
        <v>133</v>
      </c>
      <c r="Q9" s="8">
        <v>135</v>
      </c>
      <c r="S9" s="3" t="s">
        <v>19</v>
      </c>
      <c r="T9" s="8">
        <v>75</v>
      </c>
      <c r="U9" s="8">
        <v>82</v>
      </c>
      <c r="V9" s="8">
        <v>83</v>
      </c>
      <c r="W9" s="8">
        <v>80</v>
      </c>
    </row>
    <row r="10" spans="1:43" x14ac:dyDescent="0.3">
      <c r="A10" s="3" t="s">
        <v>14</v>
      </c>
      <c r="B10" s="12">
        <v>118</v>
      </c>
      <c r="C10" s="12">
        <v>109</v>
      </c>
      <c r="D10" s="12">
        <v>107</v>
      </c>
      <c r="E10" s="12">
        <v>107</v>
      </c>
      <c r="G10" s="3" t="s">
        <v>14</v>
      </c>
      <c r="H10" s="12">
        <v>73</v>
      </c>
      <c r="I10" s="12">
        <v>75</v>
      </c>
      <c r="J10" s="12">
        <v>68</v>
      </c>
      <c r="K10" s="12">
        <v>77</v>
      </c>
      <c r="M10" s="3" t="s">
        <v>24</v>
      </c>
      <c r="N10" s="8">
        <v>134</v>
      </c>
      <c r="O10" s="8">
        <v>140</v>
      </c>
      <c r="P10" s="8">
        <v>134</v>
      </c>
      <c r="Q10" s="8">
        <v>142</v>
      </c>
      <c r="S10" s="3" t="s">
        <v>24</v>
      </c>
      <c r="T10" s="8">
        <v>84</v>
      </c>
      <c r="U10" s="8">
        <v>82</v>
      </c>
      <c r="V10" s="8">
        <v>78</v>
      </c>
      <c r="W10" s="8">
        <v>82</v>
      </c>
    </row>
    <row r="11" spans="1:43" x14ac:dyDescent="0.3">
      <c r="A11" s="3" t="s">
        <v>11</v>
      </c>
      <c r="B11" s="12">
        <v>110</v>
      </c>
      <c r="C11" s="12">
        <v>111</v>
      </c>
      <c r="D11" s="12">
        <v>109</v>
      </c>
      <c r="E11" s="12">
        <v>112</v>
      </c>
      <c r="G11" s="3" t="s">
        <v>11</v>
      </c>
      <c r="H11" s="12">
        <v>72</v>
      </c>
      <c r="I11" s="12">
        <v>73</v>
      </c>
      <c r="J11" s="12">
        <v>75</v>
      </c>
      <c r="K11" s="12">
        <v>74</v>
      </c>
      <c r="M11" s="3" t="s">
        <v>21</v>
      </c>
      <c r="N11" s="8">
        <v>120</v>
      </c>
      <c r="O11" s="8">
        <v>121</v>
      </c>
      <c r="P11" s="8">
        <v>120</v>
      </c>
      <c r="Q11" s="8">
        <v>125</v>
      </c>
      <c r="S11" s="3" t="s">
        <v>21</v>
      </c>
      <c r="T11" s="8">
        <v>71</v>
      </c>
      <c r="U11" s="8">
        <v>70</v>
      </c>
      <c r="V11" s="8">
        <v>75</v>
      </c>
      <c r="W11" s="8">
        <v>79</v>
      </c>
    </row>
    <row r="12" spans="1:43" x14ac:dyDescent="0.3">
      <c r="A12" s="3" t="s">
        <v>10</v>
      </c>
      <c r="B12" s="12">
        <v>126</v>
      </c>
      <c r="C12" s="12">
        <v>130</v>
      </c>
      <c r="D12" s="12">
        <v>122</v>
      </c>
      <c r="E12" s="12">
        <v>131</v>
      </c>
      <c r="G12" s="3" t="s">
        <v>10</v>
      </c>
      <c r="H12" s="12">
        <v>81</v>
      </c>
      <c r="I12" s="12">
        <v>78</v>
      </c>
      <c r="J12" s="12">
        <v>75</v>
      </c>
      <c r="K12" s="12">
        <v>82</v>
      </c>
      <c r="M12" s="3" t="s">
        <v>6</v>
      </c>
      <c r="N12" s="8">
        <v>134</v>
      </c>
      <c r="O12" s="8">
        <v>137</v>
      </c>
      <c r="P12" s="8">
        <v>132</v>
      </c>
      <c r="Q12" s="8">
        <v>134</v>
      </c>
      <c r="S12" s="3" t="s">
        <v>6</v>
      </c>
      <c r="T12" s="8">
        <v>84</v>
      </c>
      <c r="U12" s="8">
        <v>82</v>
      </c>
      <c r="V12" s="8">
        <v>83</v>
      </c>
      <c r="W12" s="8">
        <v>83</v>
      </c>
    </row>
    <row r="13" spans="1:43" x14ac:dyDescent="0.3">
      <c r="A13" s="3" t="s">
        <v>17</v>
      </c>
      <c r="B13" s="12">
        <v>119</v>
      </c>
      <c r="C13" s="12">
        <v>120</v>
      </c>
      <c r="D13" s="12">
        <v>121</v>
      </c>
      <c r="E13" s="12">
        <v>125</v>
      </c>
      <c r="G13" s="3" t="s">
        <v>17</v>
      </c>
      <c r="H13" s="12">
        <v>74</v>
      </c>
      <c r="I13" s="12">
        <v>75</v>
      </c>
      <c r="J13" s="12">
        <v>74</v>
      </c>
      <c r="K13" s="12">
        <v>74</v>
      </c>
      <c r="M13" s="3" t="s">
        <v>29</v>
      </c>
      <c r="N13" s="8">
        <v>99</v>
      </c>
      <c r="O13" s="8">
        <v>102</v>
      </c>
      <c r="P13" s="8">
        <v>96</v>
      </c>
      <c r="Q13" s="8">
        <v>101</v>
      </c>
      <c r="S13" s="3" t="s">
        <v>29</v>
      </c>
      <c r="T13" s="8">
        <v>62</v>
      </c>
      <c r="U13" s="8">
        <v>64</v>
      </c>
      <c r="V13" s="8">
        <v>67</v>
      </c>
      <c r="W13" s="8">
        <v>64</v>
      </c>
      <c r="Z13" s="93" t="s">
        <v>150</v>
      </c>
      <c r="AA13" s="93"/>
      <c r="AB13" s="93"/>
      <c r="AC13" s="93"/>
      <c r="AD13" s="93"/>
    </row>
    <row r="14" spans="1:43" x14ac:dyDescent="0.3">
      <c r="A14" s="3" t="s">
        <v>13</v>
      </c>
      <c r="B14" s="12">
        <v>129</v>
      </c>
      <c r="C14" s="12">
        <v>131</v>
      </c>
      <c r="D14" s="12">
        <v>138</v>
      </c>
      <c r="E14" s="12">
        <v>146</v>
      </c>
      <c r="G14" s="3" t="s">
        <v>13</v>
      </c>
      <c r="H14" s="12">
        <v>60</v>
      </c>
      <c r="I14" s="12">
        <v>69</v>
      </c>
      <c r="J14" s="12">
        <v>63</v>
      </c>
      <c r="K14" s="12">
        <v>76</v>
      </c>
      <c r="M14" s="3" t="s">
        <v>28</v>
      </c>
      <c r="N14" s="8">
        <v>99</v>
      </c>
      <c r="O14" s="8">
        <v>95</v>
      </c>
      <c r="P14" s="8">
        <v>101</v>
      </c>
      <c r="Q14" s="8">
        <v>107</v>
      </c>
      <c r="S14" s="3" t="s">
        <v>28</v>
      </c>
      <c r="T14" s="8">
        <v>63</v>
      </c>
      <c r="U14" s="8">
        <v>58</v>
      </c>
      <c r="V14" s="8">
        <v>65</v>
      </c>
      <c r="W14" s="8">
        <v>68</v>
      </c>
      <c r="Z14" s="8"/>
      <c r="AA14" s="73" t="s">
        <v>155</v>
      </c>
      <c r="AB14" s="73" t="s">
        <v>156</v>
      </c>
      <c r="AC14" s="3" t="s">
        <v>157</v>
      </c>
      <c r="AD14" s="3" t="s">
        <v>158</v>
      </c>
    </row>
    <row r="15" spans="1:43" x14ac:dyDescent="0.3">
      <c r="A15" s="3" t="s">
        <v>15</v>
      </c>
      <c r="B15" s="12">
        <v>129</v>
      </c>
      <c r="C15" s="12">
        <v>140</v>
      </c>
      <c r="D15" s="12">
        <v>136</v>
      </c>
      <c r="E15" s="12">
        <v>131</v>
      </c>
      <c r="G15" s="3" t="s">
        <v>15</v>
      </c>
      <c r="H15" s="12">
        <v>73</v>
      </c>
      <c r="I15" s="12">
        <v>77</v>
      </c>
      <c r="J15" s="12">
        <v>77</v>
      </c>
      <c r="K15" s="12">
        <v>81</v>
      </c>
      <c r="M15" s="3" t="s">
        <v>27</v>
      </c>
      <c r="N15" s="8">
        <v>125</v>
      </c>
      <c r="O15" s="8">
        <v>113</v>
      </c>
      <c r="P15" s="8">
        <v>113</v>
      </c>
      <c r="Q15" s="8">
        <v>110</v>
      </c>
      <c r="S15" s="3" t="s">
        <v>27</v>
      </c>
      <c r="T15" s="8">
        <v>74</v>
      </c>
      <c r="U15" s="8">
        <v>69</v>
      </c>
      <c r="V15" s="8">
        <v>72</v>
      </c>
      <c r="W15" s="8">
        <v>75</v>
      </c>
      <c r="Z15" s="25" t="s">
        <v>52</v>
      </c>
      <c r="AA15" s="38">
        <v>8.0000000000000002E-3</v>
      </c>
      <c r="AB15" s="48">
        <v>0.13100000000000001</v>
      </c>
      <c r="AC15" s="8">
        <v>4.22</v>
      </c>
      <c r="AD15" s="8" t="s">
        <v>171</v>
      </c>
    </row>
    <row r="16" spans="1:43" x14ac:dyDescent="0.3">
      <c r="A16" s="3" t="s">
        <v>42</v>
      </c>
      <c r="B16" s="8">
        <v>122</v>
      </c>
      <c r="C16" s="8">
        <v>124</v>
      </c>
      <c r="D16" s="8">
        <v>119</v>
      </c>
      <c r="E16" s="8">
        <v>121</v>
      </c>
      <c r="G16" s="3" t="s">
        <v>42</v>
      </c>
      <c r="H16" s="8">
        <v>75</v>
      </c>
      <c r="I16" s="8">
        <v>78</v>
      </c>
      <c r="J16" s="8">
        <v>79</v>
      </c>
      <c r="K16" s="8">
        <v>77</v>
      </c>
      <c r="M16" s="3" t="s">
        <v>23</v>
      </c>
      <c r="N16" s="8">
        <v>127</v>
      </c>
      <c r="O16" s="8">
        <v>129</v>
      </c>
      <c r="P16" s="8">
        <v>116</v>
      </c>
      <c r="Q16" s="8">
        <v>124</v>
      </c>
      <c r="S16" s="3" t="s">
        <v>23</v>
      </c>
      <c r="T16" s="8">
        <v>78</v>
      </c>
      <c r="U16" s="8">
        <v>73</v>
      </c>
      <c r="V16" s="8">
        <v>79</v>
      </c>
      <c r="W16" s="8">
        <v>84</v>
      </c>
      <c r="Z16" s="25" t="s">
        <v>54</v>
      </c>
      <c r="AA16" s="69">
        <v>0.51800000000000002</v>
      </c>
      <c r="AB16" s="48">
        <v>1.4999999999999999E-2</v>
      </c>
      <c r="AC16" s="8">
        <v>0.42899999999999999</v>
      </c>
      <c r="AD16" s="8" t="s">
        <v>160</v>
      </c>
    </row>
    <row r="17" spans="1:30" x14ac:dyDescent="0.3">
      <c r="A17" s="3" t="s">
        <v>18</v>
      </c>
      <c r="B17" s="8">
        <v>117</v>
      </c>
      <c r="C17" s="8">
        <v>120</v>
      </c>
      <c r="D17" s="8">
        <v>129</v>
      </c>
      <c r="E17" s="8">
        <v>135</v>
      </c>
      <c r="G17" s="3" t="s">
        <v>18</v>
      </c>
      <c r="H17" s="8">
        <v>83</v>
      </c>
      <c r="I17" s="8">
        <v>80</v>
      </c>
      <c r="J17" s="8">
        <v>90</v>
      </c>
      <c r="K17" s="8">
        <v>91</v>
      </c>
      <c r="M17" s="4" t="s">
        <v>151</v>
      </c>
      <c r="N17" s="7">
        <f>AVERAGE(N3:N16)</f>
        <v>120.92857142857143</v>
      </c>
      <c r="O17" s="7">
        <f>AVERAGE(O3:O16)</f>
        <v>120.64285714285714</v>
      </c>
      <c r="P17" s="7">
        <f>AVERAGE(P3:P16)</f>
        <v>119.5</v>
      </c>
      <c r="Q17" s="7">
        <f>AVERAGE(Q3:Q16)</f>
        <v>120.21428571428571</v>
      </c>
      <c r="S17" s="4" t="s">
        <v>151</v>
      </c>
      <c r="T17" s="7">
        <f>AVERAGE(T3:T16)</f>
        <v>73.142857142857139</v>
      </c>
      <c r="U17" s="7">
        <f>AVERAGE(U3:U16)</f>
        <v>72.571428571428569</v>
      </c>
      <c r="V17" s="7">
        <f>AVERAGE(V3:V16)</f>
        <v>75.714285714285708</v>
      </c>
      <c r="W17" s="7">
        <f>AVERAGE(W3:W16)</f>
        <v>75.214285714285708</v>
      </c>
      <c r="Z17" s="25" t="s">
        <v>55</v>
      </c>
      <c r="AA17" s="69">
        <v>0.24</v>
      </c>
      <c r="AB17" s="48">
        <v>4.9000000000000002E-2</v>
      </c>
      <c r="AC17" s="8">
        <v>1.43</v>
      </c>
      <c r="AD17" s="8" t="s">
        <v>171</v>
      </c>
    </row>
    <row r="18" spans="1:30" x14ac:dyDescent="0.3">
      <c r="A18" s="3" t="s">
        <v>20</v>
      </c>
      <c r="B18" s="8">
        <v>123</v>
      </c>
      <c r="C18" s="8">
        <v>115</v>
      </c>
      <c r="D18" s="8">
        <v>115</v>
      </c>
      <c r="E18" s="8">
        <v>123</v>
      </c>
      <c r="G18" s="3" t="s">
        <v>20</v>
      </c>
      <c r="H18" s="8">
        <v>84</v>
      </c>
      <c r="I18" s="8">
        <v>80</v>
      </c>
      <c r="J18" s="8">
        <v>74</v>
      </c>
      <c r="K18" s="8">
        <v>86</v>
      </c>
      <c r="M18" s="5" t="s">
        <v>31</v>
      </c>
      <c r="N18" s="6">
        <f>+_xlfn.STDEV.S(N3:N16)</f>
        <v>13.34434069452025</v>
      </c>
      <c r="O18" s="6">
        <f>+_xlfn.STDEV.S(O3:O16)</f>
        <v>15.450203597648528</v>
      </c>
      <c r="P18" s="6">
        <f>+_xlfn.STDEV.S(P3:P16)</f>
        <v>13.771486708189721</v>
      </c>
      <c r="Q18" s="6">
        <f>+_xlfn.STDEV.S(Q3:Q16)</f>
        <v>13.319612903988125</v>
      </c>
      <c r="S18" s="5" t="s">
        <v>31</v>
      </c>
      <c r="T18" s="6">
        <f>+_xlfn.STDEV.S(T3:T16)</f>
        <v>10.174305063073538</v>
      </c>
      <c r="U18" s="6">
        <f>+_xlfn.STDEV.S(U3:U16)</f>
        <v>9.6373814326880503</v>
      </c>
      <c r="V18" s="6">
        <f>+_xlfn.STDEV.S(V3:V16)</f>
        <v>8.9393561240219128</v>
      </c>
      <c r="W18" s="6">
        <f>+_xlfn.STDEV.S(W3:W16)</f>
        <v>8.3957734002896451</v>
      </c>
    </row>
    <row r="19" spans="1:30" x14ac:dyDescent="0.3">
      <c r="A19" s="4" t="s">
        <v>151</v>
      </c>
      <c r="B19" s="7">
        <f>AVERAGE(B3:B18)</f>
        <v>122.5</v>
      </c>
      <c r="C19" s="7">
        <f>AVERAGE(C3:C18)</f>
        <v>124.375</v>
      </c>
      <c r="D19" s="7">
        <f>AVERAGE(D3:D18)</f>
        <v>124.5</v>
      </c>
      <c r="E19" s="7">
        <f>AVERAGE(E3:E18)</f>
        <v>125.9375</v>
      </c>
      <c r="G19" s="4" t="s">
        <v>151</v>
      </c>
      <c r="H19" s="7">
        <f>AVERAGE(H3:H18)</f>
        <v>74.625</v>
      </c>
      <c r="I19" s="7">
        <f>AVERAGE(I3:I18)</f>
        <v>75.875</v>
      </c>
      <c r="J19" s="7">
        <f>AVERAGE(J3:J18)</f>
        <v>75.6875</v>
      </c>
      <c r="K19" s="7">
        <f>AVERAGE(K3:K18)</f>
        <v>78.125</v>
      </c>
    </row>
    <row r="20" spans="1:30" x14ac:dyDescent="0.3">
      <c r="A20" s="5" t="s">
        <v>31</v>
      </c>
      <c r="B20" s="6">
        <f>+_xlfn.STDEV.S(B3:B18)</f>
        <v>14.071247279470288</v>
      </c>
      <c r="C20" s="6">
        <f>+_xlfn.STDEV.S(C3:C18)</f>
        <v>19.663417810746939</v>
      </c>
      <c r="D20" s="6">
        <f>+_xlfn.STDEV.S(D3:D18)</f>
        <v>18.381149764545924</v>
      </c>
      <c r="E20" s="6">
        <f>+_xlfn.STDEV.S(E3:E18)</f>
        <v>17.793140063893539</v>
      </c>
      <c r="G20" s="5" t="s">
        <v>31</v>
      </c>
      <c r="H20" s="6">
        <f>+_xlfn.STDEV.S(H3:H18)</f>
        <v>7.1355915428692152</v>
      </c>
      <c r="I20" s="6">
        <f>+_xlfn.STDEV.S(I3:I18)</f>
        <v>6.6319931644516439</v>
      </c>
      <c r="J20" s="6">
        <f>+_xlfn.STDEV.S(J3:J18)</f>
        <v>9.25</v>
      </c>
      <c r="K20" s="6">
        <f>+_xlfn.STDEV.S(K3:K18)</f>
        <v>7.9655508284110521</v>
      </c>
    </row>
  </sheetData>
  <mergeCells count="6">
    <mergeCell ref="B1:E1"/>
    <mergeCell ref="H1:K1"/>
    <mergeCell ref="S1:W1"/>
    <mergeCell ref="N1:Q1"/>
    <mergeCell ref="Z13:AD13"/>
    <mergeCell ref="Z1:AD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180F-F328-4662-9696-40CE29B0812C}">
  <dimension ref="A1:CR95"/>
  <sheetViews>
    <sheetView topLeftCell="BA1" zoomScale="81" zoomScaleNormal="130" workbookViewId="0">
      <selection activeCell="AE3" sqref="AE3:AE16"/>
    </sheetView>
  </sheetViews>
  <sheetFormatPr baseColWidth="10" defaultColWidth="11.44140625" defaultRowHeight="14.4" x14ac:dyDescent="0.3"/>
  <cols>
    <col min="3" max="3" width="13" bestFit="1" customWidth="1"/>
    <col min="4" max="5" width="13.44140625" bestFit="1" customWidth="1"/>
    <col min="12" max="12" width="7.6640625" customWidth="1"/>
    <col min="13" max="13" width="13" bestFit="1" customWidth="1"/>
    <col min="14" max="15" width="13.44140625" bestFit="1" customWidth="1"/>
    <col min="22" max="22" width="7.6640625" customWidth="1"/>
    <col min="23" max="23" width="13" bestFit="1" customWidth="1"/>
    <col min="24" max="25" width="13.44140625" bestFit="1" customWidth="1"/>
    <col min="33" max="33" width="13" bestFit="1" customWidth="1"/>
    <col min="34" max="35" width="13.44140625" bestFit="1" customWidth="1"/>
    <col min="43" max="43" width="10.5546875" customWidth="1"/>
    <col min="44" max="44" width="9.33203125" customWidth="1"/>
    <col min="45" max="45" width="9.88671875" customWidth="1"/>
    <col min="52" max="52" width="8.6640625" customWidth="1"/>
    <col min="53" max="53" width="13.33203125" customWidth="1"/>
    <col min="54" max="54" width="10.88671875" customWidth="1"/>
    <col min="55" max="55" width="13" customWidth="1"/>
    <col min="70" max="72" width="0" hidden="1" customWidth="1"/>
    <col min="73" max="73" width="11.44140625" customWidth="1"/>
    <col min="77" max="77" width="10.33203125" customWidth="1"/>
    <col min="80" max="82" width="0" hidden="1" customWidth="1"/>
    <col min="90" max="92" width="0" hidden="1" customWidth="1"/>
  </cols>
  <sheetData>
    <row r="1" spans="1:96" x14ac:dyDescent="0.3">
      <c r="B1" s="93" t="s">
        <v>132</v>
      </c>
      <c r="C1" s="93"/>
      <c r="D1" s="93"/>
      <c r="E1" s="93"/>
      <c r="F1" s="93"/>
      <c r="G1" s="93"/>
      <c r="H1" s="93"/>
      <c r="I1" s="93"/>
      <c r="L1" s="93" t="s">
        <v>133</v>
      </c>
      <c r="M1" s="93"/>
      <c r="N1" s="93"/>
      <c r="O1" s="93"/>
      <c r="P1" s="93"/>
      <c r="Q1" s="93"/>
      <c r="R1" s="93"/>
      <c r="S1" s="93"/>
      <c r="V1" s="95" t="s">
        <v>142</v>
      </c>
      <c r="W1" s="95"/>
      <c r="X1" s="95"/>
      <c r="Y1" s="95"/>
      <c r="Z1" s="95"/>
      <c r="AA1" s="95"/>
      <c r="AB1" s="95"/>
      <c r="AC1" s="95"/>
      <c r="AF1" s="93" t="s">
        <v>75</v>
      </c>
      <c r="AG1" s="93"/>
      <c r="AH1" s="93"/>
      <c r="AI1" s="93"/>
      <c r="AJ1" s="93"/>
      <c r="AK1" s="93"/>
      <c r="AL1" s="93"/>
      <c r="AM1" s="93"/>
      <c r="AP1" s="93" t="s">
        <v>76</v>
      </c>
      <c r="AQ1" s="93"/>
      <c r="AR1" s="93"/>
      <c r="AS1" s="93"/>
      <c r="AT1" s="93"/>
      <c r="AU1" s="93"/>
      <c r="AV1" s="93"/>
      <c r="AW1" s="93"/>
      <c r="AZ1" s="93" t="s">
        <v>143</v>
      </c>
      <c r="BA1" s="93"/>
      <c r="BB1" s="93"/>
      <c r="BC1" s="93"/>
      <c r="BD1" s="93"/>
      <c r="BE1" s="93"/>
      <c r="BF1" s="93"/>
      <c r="BG1" s="93"/>
      <c r="BJ1" s="84" t="s">
        <v>74</v>
      </c>
      <c r="BK1" s="85"/>
      <c r="BL1" s="85"/>
      <c r="BM1" s="85"/>
      <c r="BN1" s="86"/>
      <c r="BO1" s="56"/>
      <c r="BQ1" s="93" t="s">
        <v>72</v>
      </c>
      <c r="BR1" s="93"/>
      <c r="BS1" s="93"/>
      <c r="BT1" s="93"/>
      <c r="BU1" s="93"/>
      <c r="BV1" s="93"/>
      <c r="BW1" s="93"/>
      <c r="BX1" s="93"/>
      <c r="CA1" s="93" t="s">
        <v>73</v>
      </c>
      <c r="CB1" s="93"/>
      <c r="CC1" s="93"/>
      <c r="CD1" s="93"/>
      <c r="CE1" s="93"/>
      <c r="CF1" s="93"/>
      <c r="CG1" s="93"/>
      <c r="CH1" s="93"/>
      <c r="CK1" s="93" t="s">
        <v>74</v>
      </c>
      <c r="CL1" s="93"/>
      <c r="CM1" s="93"/>
      <c r="CN1" s="93"/>
      <c r="CO1" s="93"/>
      <c r="CP1" s="93"/>
      <c r="CQ1" s="93"/>
      <c r="CR1" s="93"/>
    </row>
    <row r="2" spans="1:96" ht="27" x14ac:dyDescent="0.3">
      <c r="B2" s="73" t="s">
        <v>58</v>
      </c>
      <c r="C2" s="73" t="s">
        <v>77</v>
      </c>
      <c r="D2" s="73" t="s">
        <v>78</v>
      </c>
      <c r="E2" s="73" t="s">
        <v>79</v>
      </c>
      <c r="F2" s="72" t="s">
        <v>51</v>
      </c>
      <c r="G2" s="73" t="s">
        <v>48</v>
      </c>
      <c r="H2" s="73" t="s">
        <v>130</v>
      </c>
      <c r="I2" s="73" t="s">
        <v>131</v>
      </c>
      <c r="L2" s="73" t="s">
        <v>58</v>
      </c>
      <c r="M2" s="73" t="s">
        <v>77</v>
      </c>
      <c r="N2" s="73" t="s">
        <v>78</v>
      </c>
      <c r="O2" s="73" t="s">
        <v>79</v>
      </c>
      <c r="P2" s="72" t="s">
        <v>51</v>
      </c>
      <c r="Q2" s="73" t="s">
        <v>48</v>
      </c>
      <c r="R2" s="73" t="s">
        <v>130</v>
      </c>
      <c r="S2" s="73" t="s">
        <v>131</v>
      </c>
      <c r="V2" s="73" t="s">
        <v>58</v>
      </c>
      <c r="W2" s="73" t="s">
        <v>77</v>
      </c>
      <c r="X2" s="73" t="s">
        <v>78</v>
      </c>
      <c r="Y2" s="73" t="s">
        <v>79</v>
      </c>
      <c r="Z2" s="72" t="s">
        <v>51</v>
      </c>
      <c r="AA2" s="73" t="s">
        <v>48</v>
      </c>
      <c r="AB2" s="73" t="s">
        <v>130</v>
      </c>
      <c r="AC2" s="73" t="s">
        <v>131</v>
      </c>
      <c r="AF2" s="73" t="s">
        <v>58</v>
      </c>
      <c r="AG2" s="73" t="s">
        <v>77</v>
      </c>
      <c r="AH2" s="73" t="s">
        <v>78</v>
      </c>
      <c r="AI2" s="73" t="s">
        <v>79</v>
      </c>
      <c r="AJ2" s="72" t="s">
        <v>51</v>
      </c>
      <c r="AK2" s="73" t="s">
        <v>48</v>
      </c>
      <c r="AL2" s="73" t="s">
        <v>130</v>
      </c>
      <c r="AM2" s="73" t="s">
        <v>131</v>
      </c>
      <c r="AP2" s="73" t="s">
        <v>58</v>
      </c>
      <c r="AQ2" s="73" t="s">
        <v>77</v>
      </c>
      <c r="AR2" s="73" t="s">
        <v>78</v>
      </c>
      <c r="AS2" s="73" t="s">
        <v>79</v>
      </c>
      <c r="AT2" s="72" t="s">
        <v>51</v>
      </c>
      <c r="AU2" s="73" t="s">
        <v>48</v>
      </c>
      <c r="AV2" s="73" t="s">
        <v>130</v>
      </c>
      <c r="AW2" s="73" t="s">
        <v>131</v>
      </c>
      <c r="AZ2" s="73" t="s">
        <v>58</v>
      </c>
      <c r="BA2" s="73" t="s">
        <v>77</v>
      </c>
      <c r="BB2" s="73" t="s">
        <v>78</v>
      </c>
      <c r="BC2" s="73" t="s">
        <v>79</v>
      </c>
      <c r="BD2" s="72" t="s">
        <v>51</v>
      </c>
      <c r="BE2" s="73" t="s">
        <v>48</v>
      </c>
      <c r="BF2" s="73" t="s">
        <v>130</v>
      </c>
      <c r="BG2" s="73" t="s">
        <v>131</v>
      </c>
      <c r="BJ2" s="8"/>
      <c r="BK2" s="73" t="s">
        <v>155</v>
      </c>
      <c r="BL2" s="73" t="s">
        <v>156</v>
      </c>
      <c r="BM2" s="3" t="s">
        <v>157</v>
      </c>
      <c r="BN2" s="3" t="s">
        <v>158</v>
      </c>
      <c r="BQ2" s="76" t="s">
        <v>46</v>
      </c>
      <c r="BR2" s="76" t="s">
        <v>80</v>
      </c>
      <c r="BS2" s="76" t="s">
        <v>81</v>
      </c>
      <c r="BT2" s="76" t="s">
        <v>82</v>
      </c>
      <c r="BU2" s="76" t="s">
        <v>83</v>
      </c>
      <c r="BV2" s="76" t="s">
        <v>48</v>
      </c>
      <c r="BW2" s="76" t="s">
        <v>49</v>
      </c>
      <c r="BX2" s="76" t="s">
        <v>50</v>
      </c>
      <c r="CA2" s="76" t="s">
        <v>46</v>
      </c>
      <c r="CB2" s="76" t="s">
        <v>80</v>
      </c>
      <c r="CC2" s="76" t="s">
        <v>81</v>
      </c>
      <c r="CD2" s="76" t="s">
        <v>82</v>
      </c>
      <c r="CE2" s="76" t="s">
        <v>83</v>
      </c>
      <c r="CF2" s="76" t="s">
        <v>48</v>
      </c>
      <c r="CG2" s="76" t="s">
        <v>49</v>
      </c>
      <c r="CH2" s="76" t="s">
        <v>50</v>
      </c>
      <c r="CK2" s="76" t="s">
        <v>46</v>
      </c>
      <c r="CL2" s="76" t="s">
        <v>80</v>
      </c>
      <c r="CM2" s="76" t="s">
        <v>81</v>
      </c>
      <c r="CN2" s="76" t="s">
        <v>82</v>
      </c>
      <c r="CO2" s="76" t="s">
        <v>83</v>
      </c>
      <c r="CP2" s="76" t="s">
        <v>48</v>
      </c>
      <c r="CQ2" s="76" t="s">
        <v>49</v>
      </c>
      <c r="CR2" s="76" t="s">
        <v>50</v>
      </c>
    </row>
    <row r="3" spans="1:96" x14ac:dyDescent="0.3">
      <c r="A3" s="3" t="s">
        <v>8</v>
      </c>
      <c r="B3" s="29">
        <v>35.917812930554199</v>
      </c>
      <c r="C3" s="29">
        <v>36.4058232463534</v>
      </c>
      <c r="D3" s="29">
        <v>39.907170765177199</v>
      </c>
      <c r="E3" s="29">
        <v>31.303815086204899</v>
      </c>
      <c r="F3" s="33">
        <f t="shared" ref="F3:F18" si="0">AVERAGE(C3:E3)</f>
        <v>35.872269699245173</v>
      </c>
      <c r="G3" s="29">
        <v>37.019159658455003</v>
      </c>
      <c r="H3" s="29">
        <v>41.895151314963698</v>
      </c>
      <c r="I3" s="29">
        <v>36.301264691217298</v>
      </c>
      <c r="K3" s="3" t="s">
        <v>8</v>
      </c>
      <c r="L3" s="29">
        <v>44.998375539230203</v>
      </c>
      <c r="M3" s="29">
        <v>70.757956726306901</v>
      </c>
      <c r="N3" s="29">
        <v>79.939129267888504</v>
      </c>
      <c r="O3" s="29">
        <v>64.720170228416293</v>
      </c>
      <c r="P3" s="33">
        <f t="shared" ref="P3:P18" si="1">AVERAGE(M3:O3)</f>
        <v>71.805752074203895</v>
      </c>
      <c r="Q3" s="29">
        <v>51.059726431555703</v>
      </c>
      <c r="R3" s="29">
        <v>60.163562185728601</v>
      </c>
      <c r="S3" s="29">
        <v>40.476167717080401</v>
      </c>
      <c r="U3" s="3" t="s">
        <v>8</v>
      </c>
      <c r="V3" s="29">
        <v>62.717770034843198</v>
      </c>
      <c r="W3" s="29">
        <v>72.8177618226877</v>
      </c>
      <c r="X3" s="29">
        <v>69.738140120918501</v>
      </c>
      <c r="Y3" s="29">
        <v>77.645899929500601</v>
      </c>
      <c r="Z3" s="77">
        <f t="shared" ref="Z3:Z18" si="2">AVERAGE(W3:Y3)</f>
        <v>73.400600624368948</v>
      </c>
      <c r="AA3" s="29">
        <v>61.785149497995697</v>
      </c>
      <c r="AB3" s="29">
        <v>61.790810021345898</v>
      </c>
      <c r="AC3" s="29">
        <v>62.242969878848498</v>
      </c>
      <c r="AE3" s="3" t="s">
        <v>22</v>
      </c>
      <c r="AF3" s="12">
        <v>13.3921618867157</v>
      </c>
      <c r="AG3" s="12">
        <v>11.868697459344199</v>
      </c>
      <c r="AH3" s="12">
        <v>12.0260977472756</v>
      </c>
      <c r="AI3" s="12">
        <v>12.406399558292501</v>
      </c>
      <c r="AJ3" s="33">
        <f t="shared" ref="AJ3:AJ16" si="3">AVERAGE(AG3:AI3)</f>
        <v>12.100398254970765</v>
      </c>
      <c r="AK3" s="12">
        <v>13.690076034054099</v>
      </c>
      <c r="AL3" s="12">
        <v>13.2328979834765</v>
      </c>
      <c r="AM3" s="12">
        <v>19.674184339173099</v>
      </c>
      <c r="AN3" s="13"/>
      <c r="AO3" s="3" t="s">
        <v>22</v>
      </c>
      <c r="AP3" s="20">
        <v>15.513117439275799</v>
      </c>
      <c r="AQ3" s="20">
        <v>18.300558834333899</v>
      </c>
      <c r="AR3" s="20">
        <v>16.172786530608899</v>
      </c>
      <c r="AS3" s="20">
        <v>19.549628019775401</v>
      </c>
      <c r="AT3" s="33">
        <f t="shared" ref="AT3:AT16" si="4">AVERAGE(AQ3:AS3)</f>
        <v>18.007657794906066</v>
      </c>
      <c r="AU3" s="20">
        <v>13.6001575621125</v>
      </c>
      <c r="AV3" s="20">
        <v>30.7867289718946</v>
      </c>
      <c r="AW3" s="20">
        <v>20.944079935676999</v>
      </c>
      <c r="AX3" s="13"/>
      <c r="AY3" s="11" t="s">
        <v>22</v>
      </c>
      <c r="AZ3" s="12">
        <v>75.316390575162103</v>
      </c>
      <c r="BA3" s="12">
        <v>78.156312625250493</v>
      </c>
      <c r="BB3" s="12">
        <v>77.956914135628296</v>
      </c>
      <c r="BC3" s="12">
        <v>77.807848443843</v>
      </c>
      <c r="BD3" s="33">
        <f t="shared" ref="BD3:BD16" si="5">AVERAGE(BA3:BC3)</f>
        <v>77.973691734907263</v>
      </c>
      <c r="BE3" s="12">
        <v>74.580484773150999</v>
      </c>
      <c r="BF3" s="12">
        <v>75.380723587035902</v>
      </c>
      <c r="BG3" s="12">
        <v>73.487645555239993</v>
      </c>
      <c r="BJ3" s="25" t="s">
        <v>52</v>
      </c>
      <c r="BK3" s="38" t="s">
        <v>60</v>
      </c>
      <c r="BL3" s="48">
        <v>0.56899999999999995</v>
      </c>
      <c r="BM3" s="48">
        <v>37</v>
      </c>
      <c r="BN3" s="48" t="s">
        <v>168</v>
      </c>
      <c r="BP3" s="8" t="s">
        <v>35</v>
      </c>
      <c r="BQ3" s="24" cm="1">
        <f t="array" ref="BQ3:BX3">AF17:AM17</f>
        <v>46.325442125718403</v>
      </c>
      <c r="BR3" s="24">
        <v>28.752964174420004</v>
      </c>
      <c r="BS3" s="24">
        <v>29.788886562356065</v>
      </c>
      <c r="BT3" s="24">
        <v>30.326062427938094</v>
      </c>
      <c r="BU3" s="24">
        <v>29.622637721571387</v>
      </c>
      <c r="BV3" s="24">
        <v>37.113836299744371</v>
      </c>
      <c r="BW3" s="24">
        <v>40.771171736357402</v>
      </c>
      <c r="BX3" s="24">
        <v>45.562491419364925</v>
      </c>
      <c r="BZ3" s="8" t="s">
        <v>35</v>
      </c>
      <c r="CA3" s="24" cm="1">
        <f t="array" ref="CA3:CH3">AP17:AW17</f>
        <v>61.631970106926943</v>
      </c>
      <c r="CB3" s="24">
        <v>45.74014476965904</v>
      </c>
      <c r="CC3" s="24">
        <v>49.279099883598583</v>
      </c>
      <c r="CD3" s="24">
        <v>46.500629993377082</v>
      </c>
      <c r="CE3" s="24">
        <v>47.173291548878233</v>
      </c>
      <c r="CF3" s="24">
        <v>56.204732975244504</v>
      </c>
      <c r="CG3" s="24">
        <v>61.767216235387245</v>
      </c>
      <c r="CH3" s="24">
        <v>62.401700628976648</v>
      </c>
      <c r="CJ3" s="8" t="s">
        <v>35</v>
      </c>
      <c r="CK3" s="24" cm="1">
        <f t="array" ref="CK3:CR3">AZ17:BG17</f>
        <v>64.463770610541559</v>
      </c>
      <c r="CL3" s="24">
        <v>69.82209762765811</v>
      </c>
      <c r="CM3" s="24">
        <v>70.046763243957869</v>
      </c>
      <c r="CN3" s="24">
        <v>69.596386852985049</v>
      </c>
      <c r="CO3" s="24">
        <v>69.821749241533666</v>
      </c>
      <c r="CP3" s="24">
        <v>65.377802617915918</v>
      </c>
      <c r="CQ3" s="24">
        <v>64.496429218282827</v>
      </c>
      <c r="CR3" s="24">
        <v>62.383024188909438</v>
      </c>
    </row>
    <row r="4" spans="1:96" x14ac:dyDescent="0.3">
      <c r="A4" s="3" t="s">
        <v>12</v>
      </c>
      <c r="B4" s="29">
        <v>21.6360266005296</v>
      </c>
      <c r="C4" s="29">
        <v>10.659238004600001</v>
      </c>
      <c r="D4" s="29">
        <v>8.7712515310071701</v>
      </c>
      <c r="E4" s="29">
        <v>9.6198946398261604</v>
      </c>
      <c r="F4" s="33">
        <f t="shared" si="0"/>
        <v>9.683461391811111</v>
      </c>
      <c r="G4" s="29">
        <v>14.495689014324199</v>
      </c>
      <c r="H4" s="29">
        <v>15.9744989087175</v>
      </c>
      <c r="I4" s="29">
        <v>10.9492335022007</v>
      </c>
      <c r="K4" s="3" t="s">
        <v>12</v>
      </c>
      <c r="L4" s="29">
        <v>35.845973796635903</v>
      </c>
      <c r="M4" s="29">
        <v>33.969645143474402</v>
      </c>
      <c r="N4" s="29">
        <v>22.317103793910601</v>
      </c>
      <c r="O4" s="29">
        <v>59.3253762794347</v>
      </c>
      <c r="P4" s="33">
        <f t="shared" si="1"/>
        <v>38.537375072273228</v>
      </c>
      <c r="Q4" s="29">
        <v>22.589801195083599</v>
      </c>
      <c r="R4" s="29">
        <v>33.392430395427901</v>
      </c>
      <c r="S4" s="29">
        <v>19.761028917768702</v>
      </c>
      <c r="U4" s="3" t="s">
        <v>12</v>
      </c>
      <c r="V4" s="29">
        <v>73.404255319148902</v>
      </c>
      <c r="W4" s="29">
        <v>91.912035468618797</v>
      </c>
      <c r="X4" s="29">
        <v>94.361159729092094</v>
      </c>
      <c r="Y4" s="29">
        <v>92.161140010067996</v>
      </c>
      <c r="Z4" s="77">
        <f t="shared" si="2"/>
        <v>92.811445069259619</v>
      </c>
      <c r="AA4" s="29">
        <v>77.177896814209205</v>
      </c>
      <c r="AB4" s="29">
        <v>70.773685057101503</v>
      </c>
      <c r="AC4" s="29">
        <v>79.142621599340501</v>
      </c>
      <c r="AE4" s="3" t="s">
        <v>3</v>
      </c>
      <c r="AF4" s="12">
        <v>55.4298809137563</v>
      </c>
      <c r="AG4" s="12">
        <v>36.657458051114702</v>
      </c>
      <c r="AH4" s="12">
        <v>30.610455730027901</v>
      </c>
      <c r="AI4" s="12">
        <v>33.100825830463499</v>
      </c>
      <c r="AJ4" s="33">
        <f t="shared" si="3"/>
        <v>33.456246537202027</v>
      </c>
      <c r="AK4" s="12">
        <v>48.556839545698097</v>
      </c>
      <c r="AL4" s="12">
        <v>61.011310426838101</v>
      </c>
      <c r="AM4" s="12">
        <v>40.817116961356298</v>
      </c>
      <c r="AN4" s="13"/>
      <c r="AO4" s="3" t="s">
        <v>3</v>
      </c>
      <c r="AP4" s="12">
        <v>88.1434480719726</v>
      </c>
      <c r="AQ4" s="12">
        <v>68.614271115359401</v>
      </c>
      <c r="AR4" s="12">
        <v>50.425265295449897</v>
      </c>
      <c r="AS4" s="12">
        <v>57.416708628283601</v>
      </c>
      <c r="AT4" s="33">
        <f t="shared" si="4"/>
        <v>58.818748346364295</v>
      </c>
      <c r="AU4" s="12">
        <v>73.428046709255995</v>
      </c>
      <c r="AV4" s="12">
        <v>77.985270546080201</v>
      </c>
      <c r="AW4" s="12">
        <v>75.710025319532804</v>
      </c>
      <c r="AX4" s="13"/>
      <c r="AY4" s="3" t="s">
        <v>3</v>
      </c>
      <c r="AZ4" s="12">
        <v>64.618457381190197</v>
      </c>
      <c r="BA4" s="12">
        <v>66.6588244520253</v>
      </c>
      <c r="BB4" s="12">
        <v>65.813677799125202</v>
      </c>
      <c r="BC4" s="12">
        <v>67.606540664529405</v>
      </c>
      <c r="BD4" s="33">
        <f t="shared" si="5"/>
        <v>66.69301430522664</v>
      </c>
      <c r="BE4" s="12">
        <v>65.873544392649507</v>
      </c>
      <c r="BF4" s="12">
        <v>58.136221145625498</v>
      </c>
      <c r="BG4" s="12">
        <v>60.929451081036198</v>
      </c>
      <c r="BJ4" s="25" t="s">
        <v>54</v>
      </c>
      <c r="BK4" s="69">
        <v>0.38</v>
      </c>
      <c r="BL4" s="48">
        <v>2.8000000000000001E-2</v>
      </c>
      <c r="BM4" s="75">
        <v>0.8</v>
      </c>
      <c r="BN4" s="48" t="s">
        <v>160</v>
      </c>
      <c r="BP4" s="8" t="s">
        <v>34</v>
      </c>
      <c r="BQ4" s="24" cm="1">
        <f t="array" ref="BQ4:BX4">B19:I19</f>
        <v>36.018590657990096</v>
      </c>
      <c r="BR4" s="24">
        <v>26.116504213488561</v>
      </c>
      <c r="BS4" s="24">
        <v>25.52321318662111</v>
      </c>
      <c r="BT4" s="24">
        <v>25.079169145465706</v>
      </c>
      <c r="BU4" s="24">
        <v>25.572962181858454</v>
      </c>
      <c r="BV4" s="24">
        <v>30.286468612995701</v>
      </c>
      <c r="BW4" s="24">
        <v>35.922973121739666</v>
      </c>
      <c r="BX4" s="24">
        <v>38.194052632980302</v>
      </c>
      <c r="BZ4" s="8" t="s">
        <v>34</v>
      </c>
      <c r="CA4" s="24" cm="1">
        <f t="array" ref="CA4:CH4">L19:S19</f>
        <v>44.963860460665039</v>
      </c>
      <c r="CB4" s="24">
        <v>40.966817497520218</v>
      </c>
      <c r="CC4" s="24">
        <v>39.2369640034646</v>
      </c>
      <c r="CD4" s="24">
        <v>39.449943994193951</v>
      </c>
      <c r="CE4" s="24">
        <v>39.884575165059594</v>
      </c>
      <c r="CF4" s="24">
        <v>41.55382445457181</v>
      </c>
      <c r="CG4" s="24">
        <v>48.791227589251626</v>
      </c>
      <c r="CH4" s="24">
        <v>45.416136065875996</v>
      </c>
      <c r="CJ4" s="8" t="s">
        <v>34</v>
      </c>
      <c r="CK4" s="24" cm="1">
        <f t="array" ref="CK4:CR4">V19:AC19</f>
        <v>67.81168119349509</v>
      </c>
      <c r="CL4" s="24">
        <v>75.182082840893713</v>
      </c>
      <c r="CM4" s="24">
        <v>75.354438473161736</v>
      </c>
      <c r="CN4" s="24">
        <v>75.81045035868577</v>
      </c>
      <c r="CO4" s="24">
        <v>75.448990557580402</v>
      </c>
      <c r="CP4" s="24">
        <v>68.38288355216612</v>
      </c>
      <c r="CQ4" s="24">
        <v>67.119938002127896</v>
      </c>
      <c r="CR4" s="24">
        <v>67.38140884353281</v>
      </c>
    </row>
    <row r="5" spans="1:96" x14ac:dyDescent="0.3">
      <c r="A5" s="3" t="s">
        <v>4</v>
      </c>
      <c r="B5" s="1">
        <v>35.839146815241598</v>
      </c>
      <c r="C5" s="1">
        <v>22.686510107634199</v>
      </c>
      <c r="D5" s="1">
        <v>20.708727464256601</v>
      </c>
      <c r="E5" s="1">
        <v>32.208033170655099</v>
      </c>
      <c r="F5" s="33">
        <f t="shared" si="0"/>
        <v>25.2010902475153</v>
      </c>
      <c r="G5" s="1">
        <v>41.920877853403802</v>
      </c>
      <c r="H5" s="1">
        <v>52.190755886459399</v>
      </c>
      <c r="I5" s="1">
        <v>43.9809497812629</v>
      </c>
      <c r="J5" s="13"/>
      <c r="K5" s="3" t="s">
        <v>4</v>
      </c>
      <c r="L5" s="1">
        <v>56.967512162624899</v>
      </c>
      <c r="M5" s="1">
        <v>38.907043679681401</v>
      </c>
      <c r="N5" s="1">
        <v>45.662682579138099</v>
      </c>
      <c r="O5" s="1">
        <v>55.107553486059302</v>
      </c>
      <c r="P5" s="33">
        <f t="shared" si="1"/>
        <v>46.559093248292932</v>
      </c>
      <c r="Q5" s="1">
        <v>74.752995845060497</v>
      </c>
      <c r="R5" s="1">
        <v>88.498613004155203</v>
      </c>
      <c r="S5" s="1">
        <v>60.943657887662098</v>
      </c>
      <c r="T5" s="13"/>
      <c r="U5" s="3" t="s">
        <v>4</v>
      </c>
      <c r="V5" s="29">
        <v>84.324546669865995</v>
      </c>
      <c r="W5" s="29">
        <v>86.946090544852595</v>
      </c>
      <c r="X5" s="29">
        <v>91.9614178331354</v>
      </c>
      <c r="Y5" s="29">
        <v>83.748393316195404</v>
      </c>
      <c r="Z5" s="77">
        <f t="shared" si="2"/>
        <v>87.551967231394471</v>
      </c>
      <c r="AA5" s="29">
        <v>80.922803904170394</v>
      </c>
      <c r="AB5" s="29">
        <v>76.326566175829896</v>
      </c>
      <c r="AC5" s="29">
        <v>76.643307016765704</v>
      </c>
      <c r="AE5" s="3" t="s">
        <v>36</v>
      </c>
      <c r="AF5" s="12">
        <v>16.053326830460399</v>
      </c>
      <c r="AG5" s="12">
        <v>12.182094790158001</v>
      </c>
      <c r="AH5" s="12">
        <v>16.855564299271901</v>
      </c>
      <c r="AI5" s="12">
        <v>12.309984333284699</v>
      </c>
      <c r="AJ5" s="33">
        <f t="shared" si="3"/>
        <v>13.782547807571532</v>
      </c>
      <c r="AK5" s="12">
        <v>21.309278867518199</v>
      </c>
      <c r="AL5" s="12">
        <v>24.404066086585701</v>
      </c>
      <c r="AM5" s="12">
        <v>25.655248601834298</v>
      </c>
      <c r="AN5" s="13"/>
      <c r="AO5" s="3" t="s">
        <v>36</v>
      </c>
      <c r="AP5" s="12">
        <v>25.940117224021598</v>
      </c>
      <c r="AQ5" s="12">
        <v>22.440295865152901</v>
      </c>
      <c r="AR5" s="12">
        <v>35.518682127091203</v>
      </c>
      <c r="AS5" s="12">
        <v>31.4948637003905</v>
      </c>
      <c r="AT5" s="33">
        <f t="shared" si="4"/>
        <v>29.8179472308782</v>
      </c>
      <c r="AU5" s="12">
        <v>50.882717604223103</v>
      </c>
      <c r="AV5" s="12">
        <v>40.332143363540403</v>
      </c>
      <c r="AW5" s="12">
        <v>42.020917258157802</v>
      </c>
      <c r="AX5" s="13"/>
      <c r="AY5" s="3" t="s">
        <v>36</v>
      </c>
      <c r="AZ5" s="12">
        <v>88.525591018553101</v>
      </c>
      <c r="BA5" s="12">
        <v>90.0011538609469</v>
      </c>
      <c r="BB5" s="12">
        <v>89.710363682966403</v>
      </c>
      <c r="BC5" s="12">
        <v>91.505571672586299</v>
      </c>
      <c r="BD5" s="33">
        <f t="shared" si="5"/>
        <v>90.405696405499882</v>
      </c>
      <c r="BE5" s="12">
        <v>84.140098332404094</v>
      </c>
      <c r="BF5" s="12">
        <v>83.205916865199299</v>
      </c>
      <c r="BG5" s="12">
        <v>78.108507494194598</v>
      </c>
      <c r="BJ5" s="25" t="s">
        <v>55</v>
      </c>
      <c r="BK5" s="69">
        <v>0.192</v>
      </c>
      <c r="BL5" s="48">
        <v>5.5E-2</v>
      </c>
      <c r="BM5" s="48">
        <v>1.63</v>
      </c>
      <c r="BN5" s="48" t="s">
        <v>168</v>
      </c>
      <c r="BP5" s="8" t="s">
        <v>56</v>
      </c>
      <c r="BQ5" s="24" cm="1">
        <f t="array" ref="BQ5:BX5">AF18:AM18</f>
        <v>36.634422022853357</v>
      </c>
      <c r="BR5" s="24">
        <v>16.053451422269795</v>
      </c>
      <c r="BS5" s="24">
        <v>15.190147469752011</v>
      </c>
      <c r="BT5" s="24">
        <v>17.35487503507909</v>
      </c>
      <c r="BU5" s="24">
        <v>15.925794956163529</v>
      </c>
      <c r="BV5" s="24">
        <v>22.627492183049853</v>
      </c>
      <c r="BW5" s="24">
        <v>27.559203466189494</v>
      </c>
      <c r="BX5" s="24">
        <v>32.28100563881862</v>
      </c>
      <c r="BZ5" s="8" t="s">
        <v>56</v>
      </c>
      <c r="CA5" s="24" cm="1">
        <f t="array" ref="CA5:CH5">AP18:AW18</f>
        <v>41.912794222456242</v>
      </c>
      <c r="CB5" s="24">
        <v>19.833365167719005</v>
      </c>
      <c r="CC5" s="24">
        <v>22.924440910163408</v>
      </c>
      <c r="CD5" s="24">
        <v>22.02659159719504</v>
      </c>
      <c r="CE5" s="24">
        <v>20.681123724818065</v>
      </c>
      <c r="CF5" s="24">
        <v>34.397374521331727</v>
      </c>
      <c r="CG5" s="24">
        <v>39.076273228356754</v>
      </c>
      <c r="CH5" s="24">
        <v>41.44057509053588</v>
      </c>
      <c r="CJ5" s="8" t="s">
        <v>56</v>
      </c>
      <c r="CK5" s="24" cm="1">
        <f t="array" ref="CK5:CR5">AZ18:BG18</f>
        <v>11.849325834494994</v>
      </c>
      <c r="CL5" s="24">
        <v>11.556108304462748</v>
      </c>
      <c r="CM5" s="24">
        <v>11.28699691239718</v>
      </c>
      <c r="CN5" s="24">
        <v>11.637428074364632</v>
      </c>
      <c r="CO5" s="24">
        <v>11.436108815004243</v>
      </c>
      <c r="CP5" s="24">
        <v>10.76789577908186</v>
      </c>
      <c r="CQ5" s="24">
        <v>10.790546729993139</v>
      </c>
      <c r="CR5" s="24">
        <v>9.8688380575525372</v>
      </c>
    </row>
    <row r="6" spans="1:96" x14ac:dyDescent="0.3">
      <c r="A6" s="3" t="s">
        <v>5</v>
      </c>
      <c r="B6" s="1">
        <v>30.595206596240899</v>
      </c>
      <c r="C6" s="1">
        <v>32.652932085788699</v>
      </c>
      <c r="D6" s="1">
        <v>29.671578950278299</v>
      </c>
      <c r="E6" s="1">
        <v>29.0566061961194</v>
      </c>
      <c r="F6" s="33">
        <f t="shared" si="0"/>
        <v>30.460372410728798</v>
      </c>
      <c r="G6" s="1">
        <v>28.498245560034</v>
      </c>
      <c r="H6" s="1">
        <v>35.880821246639997</v>
      </c>
      <c r="I6" s="1">
        <v>33.240553939871504</v>
      </c>
      <c r="J6" s="13"/>
      <c r="K6" s="3" t="s">
        <v>5</v>
      </c>
      <c r="L6" s="1">
        <v>34.175794801031103</v>
      </c>
      <c r="M6" s="1">
        <v>47.395139254492598</v>
      </c>
      <c r="N6" s="1">
        <v>36.469454421836303</v>
      </c>
      <c r="O6" s="1">
        <v>39.874226927883797</v>
      </c>
      <c r="P6" s="33">
        <f t="shared" si="1"/>
        <v>41.246273534737561</v>
      </c>
      <c r="Q6" s="1">
        <v>21.221841770375299</v>
      </c>
      <c r="R6" s="1">
        <v>47.777635974670602</v>
      </c>
      <c r="S6" s="1">
        <v>46.929940920895199</v>
      </c>
      <c r="T6" s="13"/>
      <c r="U6" s="3" t="s">
        <v>5</v>
      </c>
      <c r="V6" s="1">
        <v>65.168619351162704</v>
      </c>
      <c r="W6" s="1">
        <v>68.944499677759396</v>
      </c>
      <c r="X6" s="1">
        <v>70.874320278609403</v>
      </c>
      <c r="Y6" s="1">
        <v>74.200082817588694</v>
      </c>
      <c r="Z6" s="77">
        <f t="shared" si="2"/>
        <v>71.339634257985836</v>
      </c>
      <c r="AA6" s="1">
        <v>65.777649976636397</v>
      </c>
      <c r="AB6" s="1">
        <v>66.082874424483194</v>
      </c>
      <c r="AC6" s="1">
        <v>68.571428571428598</v>
      </c>
      <c r="AE6" s="3" t="s">
        <v>25</v>
      </c>
      <c r="AF6" s="12">
        <v>21.196483413314301</v>
      </c>
      <c r="AG6" s="12">
        <v>10.8728517635732</v>
      </c>
      <c r="AH6" s="12">
        <v>11.4107520855505</v>
      </c>
      <c r="AI6" s="12">
        <v>11.0991088557282</v>
      </c>
      <c r="AJ6" s="33">
        <f t="shared" si="3"/>
        <v>11.127570901617299</v>
      </c>
      <c r="AK6" s="12">
        <v>16.063961138449901</v>
      </c>
      <c r="AL6" s="12">
        <v>19.738486343619499</v>
      </c>
      <c r="AM6" s="12">
        <v>19.239637116215</v>
      </c>
      <c r="AO6" s="3" t="s">
        <v>25</v>
      </c>
      <c r="AP6" s="12">
        <v>27.976022669202901</v>
      </c>
      <c r="AQ6" s="12">
        <v>52.062304789945401</v>
      </c>
      <c r="AR6" s="12">
        <v>39.946568710525597</v>
      </c>
      <c r="AS6" s="12">
        <v>31.390597988482199</v>
      </c>
      <c r="AT6" s="33">
        <f t="shared" si="4"/>
        <v>41.133157162984396</v>
      </c>
      <c r="AU6" s="12">
        <v>29.9809198583959</v>
      </c>
      <c r="AV6" s="12">
        <v>35.006862175983201</v>
      </c>
      <c r="AW6" s="12">
        <v>23.972534241485299</v>
      </c>
      <c r="AY6" s="3" t="s">
        <v>25</v>
      </c>
      <c r="AZ6" s="12">
        <v>63.697890007393497</v>
      </c>
      <c r="BA6" s="12">
        <v>78.230897331629293</v>
      </c>
      <c r="BB6" s="12">
        <v>76.3424886585439</v>
      </c>
      <c r="BC6" s="12">
        <v>74.338487914972802</v>
      </c>
      <c r="BD6" s="33">
        <f t="shared" si="5"/>
        <v>76.303957968381994</v>
      </c>
      <c r="BE6" s="12">
        <v>64.285714285714306</v>
      </c>
      <c r="BF6" s="12">
        <v>60.088977909596899</v>
      </c>
      <c r="BG6" s="12">
        <v>61.392289420792999</v>
      </c>
      <c r="BJ6" s="8"/>
      <c r="BK6" s="8"/>
      <c r="BL6" s="8"/>
      <c r="BM6" s="8"/>
      <c r="BN6" s="8"/>
      <c r="BO6" s="56"/>
      <c r="BP6" s="8" t="s">
        <v>57</v>
      </c>
      <c r="BQ6" s="24" cm="1">
        <f t="array" ref="BQ6:BX6">B20:I20</f>
        <v>16.480551657090885</v>
      </c>
      <c r="BR6" s="24">
        <v>14.157340425031848</v>
      </c>
      <c r="BS6" s="24">
        <v>14.603343933481177</v>
      </c>
      <c r="BT6" s="24">
        <v>15.746131390269316</v>
      </c>
      <c r="BU6" s="24">
        <v>14.472247216622526</v>
      </c>
      <c r="BV6" s="24">
        <v>18.898500936788174</v>
      </c>
      <c r="BW6" s="24">
        <v>23.244935847402385</v>
      </c>
      <c r="BX6" s="24">
        <v>27.788570925374774</v>
      </c>
      <c r="BZ6" s="8" t="s">
        <v>57</v>
      </c>
      <c r="CA6" s="24" cm="1">
        <f t="array" ref="CA6:CH6">L20:S20</f>
        <v>15.852379111374091</v>
      </c>
      <c r="CB6" s="24">
        <v>14.145557774326697</v>
      </c>
      <c r="CC6" s="24">
        <v>16.415695134061814</v>
      </c>
      <c r="CD6" s="24">
        <v>18.769757931818791</v>
      </c>
      <c r="CE6" s="24">
        <v>14.822396403347556</v>
      </c>
      <c r="CF6" s="24">
        <v>25.113696071286494</v>
      </c>
      <c r="CG6" s="24">
        <v>22.051479319108093</v>
      </c>
      <c r="CH6" s="24">
        <v>22.134350714362348</v>
      </c>
      <c r="CJ6" s="8" t="s">
        <v>57</v>
      </c>
      <c r="CK6" s="24" cm="1">
        <f t="array" ref="CK6:CR6">V20:AC20</f>
        <v>13.257957766540423</v>
      </c>
      <c r="CL6" s="24">
        <v>14.465280462577434</v>
      </c>
      <c r="CM6" s="24">
        <v>15.110354733311462</v>
      </c>
      <c r="CN6" s="24">
        <v>14.290250563938619</v>
      </c>
      <c r="CO6" s="24">
        <v>14.507441278756097</v>
      </c>
      <c r="CP6" s="24">
        <v>12.839049396407113</v>
      </c>
      <c r="CQ6" s="24">
        <v>12.335136550643918</v>
      </c>
      <c r="CR6" s="24">
        <v>12.760408344430138</v>
      </c>
    </row>
    <row r="7" spans="1:96" x14ac:dyDescent="0.3">
      <c r="A7" s="3" t="s">
        <v>39</v>
      </c>
      <c r="B7" s="1">
        <v>53.800557617928099</v>
      </c>
      <c r="C7" s="1">
        <v>26.2595781578109</v>
      </c>
      <c r="D7" s="1">
        <v>14.88243632591</v>
      </c>
      <c r="E7" s="1">
        <v>6.8245105071332297</v>
      </c>
      <c r="F7" s="33">
        <f t="shared" si="0"/>
        <v>15.988841663618041</v>
      </c>
      <c r="G7" s="1">
        <v>4.1596911307247701</v>
      </c>
      <c r="H7" s="1">
        <v>7.4805684349244901</v>
      </c>
      <c r="I7" s="1">
        <v>25.8755129161665</v>
      </c>
      <c r="J7" s="13"/>
      <c r="K7" s="3" t="s">
        <v>39</v>
      </c>
      <c r="L7" s="1">
        <v>51.062741470488902</v>
      </c>
      <c r="M7" s="1">
        <v>29.0811518182479</v>
      </c>
      <c r="N7" s="1">
        <v>21.261128256823401</v>
      </c>
      <c r="O7" s="1">
        <v>15.391644476050301</v>
      </c>
      <c r="P7" s="33">
        <f t="shared" si="1"/>
        <v>21.911308183707202</v>
      </c>
      <c r="Q7" s="1">
        <v>5.1202949486218303</v>
      </c>
      <c r="R7" s="1">
        <v>11.0502463322794</v>
      </c>
      <c r="S7" s="1">
        <v>19.316249859911199</v>
      </c>
      <c r="T7" s="13"/>
      <c r="U7" s="3" t="s">
        <v>39</v>
      </c>
      <c r="V7" s="1">
        <v>93.832952651398202</v>
      </c>
      <c r="W7" s="1">
        <v>101.77032636397</v>
      </c>
      <c r="X7" s="1">
        <v>99.282686664492999</v>
      </c>
      <c r="Y7" s="1">
        <v>99.581444992707503</v>
      </c>
      <c r="Z7" s="77">
        <f t="shared" si="2"/>
        <v>100.21148600705685</v>
      </c>
      <c r="AA7" s="1">
        <v>93.538404262745203</v>
      </c>
      <c r="AB7" s="1">
        <v>88.463379607467701</v>
      </c>
      <c r="AC7" s="1">
        <v>88.782118236891606</v>
      </c>
      <c r="AE7" s="3" t="s">
        <v>16</v>
      </c>
      <c r="AF7" s="12">
        <v>37.058675833675601</v>
      </c>
      <c r="AG7" s="12">
        <v>30.588538419393799</v>
      </c>
      <c r="AH7" s="12">
        <v>27.4625021509375</v>
      </c>
      <c r="AI7" s="12">
        <v>31.331874992290899</v>
      </c>
      <c r="AJ7" s="33">
        <f t="shared" si="3"/>
        <v>29.794305187540733</v>
      </c>
      <c r="AK7" s="12">
        <v>30.9244657293406</v>
      </c>
      <c r="AL7" s="12">
        <v>31.6214805596905</v>
      </c>
      <c r="AM7" s="12">
        <v>21.281805709039102</v>
      </c>
      <c r="AO7" s="3" t="s">
        <v>16</v>
      </c>
      <c r="AP7" s="12">
        <v>49.966723620703398</v>
      </c>
      <c r="AQ7" s="12">
        <v>37.185659099044997</v>
      </c>
      <c r="AR7" s="12">
        <v>49.066241464201497</v>
      </c>
      <c r="AS7" s="12">
        <v>42.576104869778199</v>
      </c>
      <c r="AT7" s="33">
        <f t="shared" si="4"/>
        <v>42.942668477674893</v>
      </c>
      <c r="AU7" s="12">
        <v>52.688323761734601</v>
      </c>
      <c r="AV7" s="12">
        <v>40.5092967323327</v>
      </c>
      <c r="AW7" s="12">
        <v>35.177818137128497</v>
      </c>
      <c r="AY7" s="3" t="s">
        <v>16</v>
      </c>
      <c r="AZ7" s="12">
        <v>63.453693911466999</v>
      </c>
      <c r="BA7" s="12">
        <v>67.451820128479696</v>
      </c>
      <c r="BB7" s="12">
        <v>71.233270974240895</v>
      </c>
      <c r="BC7" s="12">
        <v>70.439070204273307</v>
      </c>
      <c r="BD7" s="33">
        <f t="shared" si="5"/>
        <v>69.708053768997971</v>
      </c>
      <c r="BE7" s="12">
        <v>67.152247290815396</v>
      </c>
      <c r="BF7" s="12">
        <v>65.050886580631598</v>
      </c>
      <c r="BG7" s="12">
        <v>64.5323199369017</v>
      </c>
      <c r="BJ7" s="25" t="s">
        <v>58</v>
      </c>
      <c r="BK7" s="3" t="s">
        <v>59</v>
      </c>
      <c r="BL7" s="53" t="s">
        <v>60</v>
      </c>
      <c r="BM7" s="53"/>
      <c r="BN7" s="53"/>
    </row>
    <row r="8" spans="1:96" x14ac:dyDescent="0.3">
      <c r="A8" s="3" t="s">
        <v>9</v>
      </c>
      <c r="B8" s="1">
        <v>24.2534692205212</v>
      </c>
      <c r="C8" s="1">
        <v>20.3009160626425</v>
      </c>
      <c r="D8" s="1">
        <v>18.2548717702327</v>
      </c>
      <c r="E8" s="1">
        <v>22.228678666334201</v>
      </c>
      <c r="F8" s="33">
        <f t="shared" si="0"/>
        <v>20.261488833069802</v>
      </c>
      <c r="G8" s="1">
        <v>14.7955198424188</v>
      </c>
      <c r="H8" s="1">
        <v>36.120354372569501</v>
      </c>
      <c r="I8" s="1">
        <v>43.701308307945297</v>
      </c>
      <c r="J8" s="13"/>
      <c r="K8" s="3" t="s">
        <v>9</v>
      </c>
      <c r="L8" s="1">
        <v>31.850632617717501</v>
      </c>
      <c r="M8" s="1">
        <v>63.749666842278302</v>
      </c>
      <c r="N8" s="1">
        <v>38.836962609018201</v>
      </c>
      <c r="O8" s="1">
        <v>30.609664654287499</v>
      </c>
      <c r="P8" s="33">
        <f t="shared" si="1"/>
        <v>44.398764701861332</v>
      </c>
      <c r="Q8" s="1">
        <v>21.270427226084699</v>
      </c>
      <c r="R8" s="1">
        <v>33.3674450602688</v>
      </c>
      <c r="S8" s="1">
        <v>31.296679034774701</v>
      </c>
      <c r="T8" s="13"/>
      <c r="U8" s="3" t="s">
        <v>9</v>
      </c>
      <c r="V8" s="1">
        <v>59.049635117820699</v>
      </c>
      <c r="W8" s="1">
        <v>68.722334758796606</v>
      </c>
      <c r="X8" s="1">
        <v>71.640694363653097</v>
      </c>
      <c r="Y8" s="1">
        <v>67.715921449531095</v>
      </c>
      <c r="Z8" s="77">
        <f t="shared" si="2"/>
        <v>69.359650190660261</v>
      </c>
      <c r="AA8" s="1">
        <v>61.796595569371398</v>
      </c>
      <c r="AB8" s="1">
        <v>56.846681156997199</v>
      </c>
      <c r="AC8" s="1">
        <v>54.848873847590198</v>
      </c>
      <c r="AE8" s="3" t="s">
        <v>26</v>
      </c>
      <c r="AF8" s="12">
        <v>8.1556821612389605</v>
      </c>
      <c r="AG8" s="12">
        <v>6.8114486956398199</v>
      </c>
      <c r="AH8" s="12">
        <v>20.414020122778901</v>
      </c>
      <c r="AI8" s="12">
        <v>7.4279007074803998</v>
      </c>
      <c r="AJ8" s="33">
        <f t="shared" si="3"/>
        <v>11.551123175299706</v>
      </c>
      <c r="AK8" s="12">
        <v>7.9206130514696396</v>
      </c>
      <c r="AL8" s="12">
        <v>11.6561430860208</v>
      </c>
      <c r="AM8" s="12">
        <v>14.421138331256399</v>
      </c>
      <c r="AO8" s="3" t="s">
        <v>26</v>
      </c>
      <c r="AP8" s="12">
        <v>22.350246674206101</v>
      </c>
      <c r="AQ8" s="12">
        <v>45.674584048109701</v>
      </c>
      <c r="AR8" s="12">
        <v>34.525769902829602</v>
      </c>
      <c r="AS8" s="12">
        <v>17.725792047288401</v>
      </c>
      <c r="AT8" s="33">
        <f t="shared" si="4"/>
        <v>32.642048666075901</v>
      </c>
      <c r="AU8" s="12">
        <v>23.9171256316476</v>
      </c>
      <c r="AV8" s="12">
        <v>23.430102927289699</v>
      </c>
      <c r="AW8" s="12">
        <v>17.6282132578147</v>
      </c>
      <c r="AY8" s="3" t="s">
        <v>26</v>
      </c>
      <c r="AZ8" s="12">
        <v>71.899983902988694</v>
      </c>
      <c r="BA8" s="12">
        <v>84.231864809604602</v>
      </c>
      <c r="BB8" s="12">
        <v>84.634159189478694</v>
      </c>
      <c r="BC8" s="12">
        <v>84.685956245589296</v>
      </c>
      <c r="BD8" s="33">
        <f t="shared" si="5"/>
        <v>84.517326748224193</v>
      </c>
      <c r="BE8" s="12">
        <v>77.452211278315204</v>
      </c>
      <c r="BF8" s="12">
        <v>72.818133142959098</v>
      </c>
      <c r="BG8" s="12">
        <v>70.721863056756106</v>
      </c>
      <c r="BJ8" s="25" t="s">
        <v>59</v>
      </c>
      <c r="BK8" s="3" t="s">
        <v>48</v>
      </c>
      <c r="BL8" s="53" t="s">
        <v>60</v>
      </c>
      <c r="BM8" s="53"/>
      <c r="BN8" s="53"/>
    </row>
    <row r="9" spans="1:96" x14ac:dyDescent="0.3">
      <c r="A9" s="3" t="s">
        <v>7</v>
      </c>
      <c r="B9" s="1">
        <v>57.797923838144897</v>
      </c>
      <c r="C9" s="1">
        <v>40.904252770791899</v>
      </c>
      <c r="D9" s="1">
        <v>46.727692781981801</v>
      </c>
      <c r="E9" s="1">
        <v>48.006172442641002</v>
      </c>
      <c r="F9" s="33">
        <f t="shared" si="0"/>
        <v>45.212705998471563</v>
      </c>
      <c r="G9" s="1">
        <v>51.664719521577197</v>
      </c>
      <c r="H9" s="1">
        <v>73.236560200490104</v>
      </c>
      <c r="I9" s="1">
        <v>65.371664698510997</v>
      </c>
      <c r="J9" s="13"/>
      <c r="K9" s="3" t="s">
        <v>7</v>
      </c>
      <c r="L9" s="1">
        <v>56.915615339574899</v>
      </c>
      <c r="M9" s="1">
        <v>34.011303241157002</v>
      </c>
      <c r="N9" s="1">
        <v>34.708201263503902</v>
      </c>
      <c r="O9" s="1">
        <v>38.440669371492604</v>
      </c>
      <c r="P9" s="33">
        <f t="shared" si="1"/>
        <v>35.720057958717838</v>
      </c>
      <c r="Q9" s="1">
        <v>49.016977026515001</v>
      </c>
      <c r="R9" s="1">
        <v>46.605561549529099</v>
      </c>
      <c r="S9" s="1">
        <v>41.724782515840403</v>
      </c>
      <c r="T9" s="13"/>
      <c r="U9" s="3" t="s">
        <v>7</v>
      </c>
      <c r="V9" s="1">
        <v>46.0717295626931</v>
      </c>
      <c r="W9" s="1">
        <v>47.167608462149197</v>
      </c>
      <c r="X9" s="1">
        <v>46.606562931255297</v>
      </c>
      <c r="Y9" s="1">
        <v>47.232110838020098</v>
      </c>
      <c r="Z9" s="77">
        <f t="shared" si="2"/>
        <v>47.002094077141528</v>
      </c>
      <c r="AA9" s="1">
        <v>44.311467959400098</v>
      </c>
      <c r="AB9" s="1">
        <v>43.734510694129199</v>
      </c>
      <c r="AC9" s="1">
        <v>42.048433566070599</v>
      </c>
      <c r="AE9" s="3" t="s">
        <v>19</v>
      </c>
      <c r="AF9" s="12">
        <v>13.1275791116768</v>
      </c>
      <c r="AG9" s="12">
        <v>10.7700673295243</v>
      </c>
      <c r="AH9" s="12">
        <v>12.068149978453199</v>
      </c>
      <c r="AI9" s="12">
        <v>13.3479087001173</v>
      </c>
      <c r="AJ9" s="33">
        <f t="shared" si="3"/>
        <v>12.062042002698268</v>
      </c>
      <c r="AK9" s="12">
        <v>17.801844297076599</v>
      </c>
      <c r="AL9" s="12">
        <v>18.245309105296801</v>
      </c>
      <c r="AM9" s="12">
        <v>19.679789573241401</v>
      </c>
      <c r="AO9" s="3" t="s">
        <v>19</v>
      </c>
      <c r="AP9" s="12">
        <v>15.459614142063399</v>
      </c>
      <c r="AQ9" s="12">
        <v>14.5630168809267</v>
      </c>
      <c r="AR9" s="12">
        <v>16.076956799870601</v>
      </c>
      <c r="AS9" s="12">
        <v>17.065098429334501</v>
      </c>
      <c r="AT9" s="33">
        <f t="shared" si="4"/>
        <v>15.901690703377268</v>
      </c>
      <c r="AU9" s="12">
        <v>26.581809430371599</v>
      </c>
      <c r="AV9" s="12">
        <v>17.6820761216614</v>
      </c>
      <c r="AW9" s="12">
        <v>21.6364101819625</v>
      </c>
      <c r="AY9" s="3" t="s">
        <v>19</v>
      </c>
      <c r="AZ9" s="12">
        <v>62.1106322109503</v>
      </c>
      <c r="BA9" s="12">
        <v>71.813285457809698</v>
      </c>
      <c r="BB9" s="12">
        <v>67.435017165277102</v>
      </c>
      <c r="BC9" s="12">
        <v>65.206955408576903</v>
      </c>
      <c r="BD9" s="33">
        <f t="shared" si="5"/>
        <v>68.151752677221239</v>
      </c>
      <c r="BE9" s="12">
        <v>60.422960725075498</v>
      </c>
      <c r="BF9" s="12">
        <v>58.2182781135661</v>
      </c>
      <c r="BG9" s="12">
        <v>57.8045391384901</v>
      </c>
      <c r="BJ9" s="25" t="s">
        <v>59</v>
      </c>
      <c r="BK9" s="3" t="s">
        <v>61</v>
      </c>
      <c r="BL9" s="53" t="s">
        <v>60</v>
      </c>
      <c r="BM9" s="53"/>
      <c r="BN9" s="53"/>
    </row>
    <row r="10" spans="1:96" x14ac:dyDescent="0.3">
      <c r="A10" s="3" t="s">
        <v>14</v>
      </c>
      <c r="B10" s="1">
        <v>23.919688859839201</v>
      </c>
      <c r="C10" s="1">
        <v>25.403339747554298</v>
      </c>
      <c r="D10" s="1">
        <v>23.898449103764399</v>
      </c>
      <c r="E10" s="1">
        <v>24.774920853490201</v>
      </c>
      <c r="F10" s="33">
        <f t="shared" si="0"/>
        <v>24.692236568269635</v>
      </c>
      <c r="G10" s="1">
        <v>25.537764572390401</v>
      </c>
      <c r="H10" s="1">
        <v>17.758968223997499</v>
      </c>
      <c r="I10" s="1">
        <v>25.184651410465602</v>
      </c>
      <c r="J10" s="13"/>
      <c r="K10" s="3" t="s">
        <v>14</v>
      </c>
      <c r="L10" s="1">
        <v>33.051725731755397</v>
      </c>
      <c r="M10" s="1">
        <v>38.670912295062102</v>
      </c>
      <c r="N10" s="1">
        <v>46.721278212799803</v>
      </c>
      <c r="O10" s="1">
        <v>39.8987101792099</v>
      </c>
      <c r="P10" s="33">
        <f t="shared" si="1"/>
        <v>41.763633562357263</v>
      </c>
      <c r="Q10" s="1">
        <v>33.371338877896399</v>
      </c>
      <c r="R10" s="1">
        <v>32.630742879367197</v>
      </c>
      <c r="S10" s="1">
        <v>35.370880210854502</v>
      </c>
      <c r="T10" s="13"/>
      <c r="U10" s="3" t="s">
        <v>14</v>
      </c>
      <c r="V10" s="1">
        <v>70.787110406761698</v>
      </c>
      <c r="W10" s="1">
        <v>74.697434571714297</v>
      </c>
      <c r="X10" s="1">
        <v>76.472087687993906</v>
      </c>
      <c r="Y10" s="1">
        <v>74.720309225031997</v>
      </c>
      <c r="Z10" s="77">
        <f t="shared" si="2"/>
        <v>75.296610494913395</v>
      </c>
      <c r="AA10" s="1">
        <v>67.986834295580906</v>
      </c>
      <c r="AB10" s="1">
        <v>67.721284588117001</v>
      </c>
      <c r="AC10" s="1">
        <v>66.257535436919596</v>
      </c>
      <c r="AE10" s="3" t="s">
        <v>24</v>
      </c>
      <c r="AF10" s="12">
        <v>74.017565482796002</v>
      </c>
      <c r="AG10" s="12">
        <v>38.388548139676402</v>
      </c>
      <c r="AH10" s="12">
        <v>38.100137963274001</v>
      </c>
      <c r="AI10" s="12">
        <v>41.177638812155401</v>
      </c>
      <c r="AJ10" s="33">
        <f t="shared" si="3"/>
        <v>39.22210830503527</v>
      </c>
      <c r="AK10" s="12">
        <v>49.056162123157598</v>
      </c>
      <c r="AL10" s="12">
        <v>38.262431948716198</v>
      </c>
      <c r="AM10" s="12">
        <v>70.302182223575599</v>
      </c>
      <c r="AO10" s="3" t="s">
        <v>24</v>
      </c>
      <c r="AP10" s="12">
        <v>86.286505516009697</v>
      </c>
      <c r="AQ10" s="12">
        <v>41.963804765217198</v>
      </c>
      <c r="AR10" s="12">
        <v>43.8807224767462</v>
      </c>
      <c r="AS10" s="12">
        <v>48.026590815693403</v>
      </c>
      <c r="AT10" s="33">
        <f t="shared" si="4"/>
        <v>44.623706019218929</v>
      </c>
      <c r="AU10" s="12">
        <v>45.211281692559297</v>
      </c>
      <c r="AV10" s="12">
        <v>50.550020790294397</v>
      </c>
      <c r="AW10" s="12">
        <v>88.495089289758695</v>
      </c>
      <c r="AY10" s="3" t="s">
        <v>24</v>
      </c>
      <c r="AZ10" s="12">
        <v>75.173095944609301</v>
      </c>
      <c r="BA10" s="12">
        <v>78.389210596152694</v>
      </c>
      <c r="BB10" s="12">
        <v>79.686674165526</v>
      </c>
      <c r="BC10" s="12">
        <v>79.439982075081005</v>
      </c>
      <c r="BD10" s="33">
        <f t="shared" si="5"/>
        <v>79.171955612253228</v>
      </c>
      <c r="BE10" s="12">
        <v>76.662348494259206</v>
      </c>
      <c r="BF10" s="12">
        <v>79.073909171861104</v>
      </c>
      <c r="BG10" s="12">
        <v>73.625191142323203</v>
      </c>
      <c r="BJ10" s="25" t="s">
        <v>59</v>
      </c>
      <c r="BK10" s="3" t="s">
        <v>62</v>
      </c>
      <c r="BL10" s="53" t="s">
        <v>60</v>
      </c>
      <c r="BM10" s="53"/>
      <c r="BN10" s="53"/>
    </row>
    <row r="11" spans="1:96" x14ac:dyDescent="0.3">
      <c r="A11" s="3" t="s">
        <v>11</v>
      </c>
      <c r="B11" s="1">
        <v>24.296898685105599</v>
      </c>
      <c r="C11" s="1">
        <v>14.577752555357</v>
      </c>
      <c r="D11" s="1">
        <v>14.5637923029263</v>
      </c>
      <c r="E11" s="1">
        <v>14.8674295837494</v>
      </c>
      <c r="F11" s="33">
        <f t="shared" si="0"/>
        <v>14.669658147344235</v>
      </c>
      <c r="G11" s="1">
        <v>15.2772359867202</v>
      </c>
      <c r="H11" s="1">
        <v>21.2232473836639</v>
      </c>
      <c r="I11" s="1">
        <v>26.332172970215201</v>
      </c>
      <c r="J11" s="13"/>
      <c r="K11" s="3" t="s">
        <v>11</v>
      </c>
      <c r="L11" s="1">
        <v>25.539075607528201</v>
      </c>
      <c r="M11" s="1">
        <v>23.60462373148</v>
      </c>
      <c r="N11" s="1">
        <v>20.8034776163841</v>
      </c>
      <c r="O11" s="1">
        <v>16.5178742709837</v>
      </c>
      <c r="P11" s="33">
        <f t="shared" si="1"/>
        <v>20.308658539615934</v>
      </c>
      <c r="Q11" s="1">
        <v>18.501479533595599</v>
      </c>
      <c r="R11" s="1">
        <v>21.991301137094901</v>
      </c>
      <c r="S11" s="1">
        <v>43.105714941004202</v>
      </c>
      <c r="T11" s="13"/>
      <c r="U11" s="3" t="s">
        <v>11</v>
      </c>
      <c r="V11" s="1">
        <v>63.556959672923298</v>
      </c>
      <c r="W11" s="1">
        <v>73.892609407660899</v>
      </c>
      <c r="X11" s="1">
        <v>72.024339259473905</v>
      </c>
      <c r="Y11" s="1">
        <v>71.653591945147994</v>
      </c>
      <c r="Z11" s="77">
        <f t="shared" si="2"/>
        <v>72.523513537427604</v>
      </c>
      <c r="AA11" s="1">
        <v>71.285443228769594</v>
      </c>
      <c r="AB11" s="1">
        <v>66.064039496350503</v>
      </c>
      <c r="AC11" s="1">
        <v>66.131830008673006</v>
      </c>
      <c r="AE11" s="3" t="s">
        <v>21</v>
      </c>
      <c r="AF11" s="12">
        <v>48.171568378038103</v>
      </c>
      <c r="AG11" s="12">
        <v>26.382488781116098</v>
      </c>
      <c r="AH11" s="12">
        <v>24.556341113628701</v>
      </c>
      <c r="AI11" s="12">
        <v>24.720742462832099</v>
      </c>
      <c r="AJ11" s="33">
        <f t="shared" si="3"/>
        <v>25.219857452525634</v>
      </c>
      <c r="AK11" s="12">
        <v>25.8667525771769</v>
      </c>
      <c r="AL11" s="12">
        <v>34.405388665596703</v>
      </c>
      <c r="AM11" s="12">
        <v>32.121297884390899</v>
      </c>
      <c r="AO11" s="3" t="s">
        <v>21</v>
      </c>
      <c r="AP11" s="12">
        <v>53.175911584788999</v>
      </c>
      <c r="AQ11" s="12">
        <v>36.587521056829097</v>
      </c>
      <c r="AR11" s="12">
        <v>47.481071264437098</v>
      </c>
      <c r="AS11" s="12">
        <v>46.576828674650599</v>
      </c>
      <c r="AT11" s="33">
        <f t="shared" si="4"/>
        <v>43.5484736653056</v>
      </c>
      <c r="AU11" s="12">
        <v>45.465061680903901</v>
      </c>
      <c r="AV11" s="12">
        <v>59.677554125132602</v>
      </c>
      <c r="AW11" s="12">
        <v>37.071560084622099</v>
      </c>
      <c r="AY11" s="3" t="s">
        <v>21</v>
      </c>
      <c r="AZ11" s="12">
        <v>50.544483254571603</v>
      </c>
      <c r="BA11" s="12">
        <v>57.956029603831098</v>
      </c>
      <c r="BB11" s="12">
        <v>60.316976108931101</v>
      </c>
      <c r="BC11" s="12">
        <v>59.460186450156101</v>
      </c>
      <c r="BD11" s="33">
        <f t="shared" si="5"/>
        <v>59.244397387639431</v>
      </c>
      <c r="BE11" s="12">
        <v>54.032889584964799</v>
      </c>
      <c r="BF11" s="12">
        <v>59.566178398831198</v>
      </c>
      <c r="BG11" s="12">
        <v>52.8735632183908</v>
      </c>
      <c r="BJ11" s="14" t="s">
        <v>48</v>
      </c>
      <c r="BK11" s="14" t="s">
        <v>62</v>
      </c>
      <c r="BL11" s="54">
        <v>6.0000000000000001E-3</v>
      </c>
      <c r="BM11" s="54"/>
      <c r="BN11" s="54"/>
      <c r="BO11" s="56"/>
    </row>
    <row r="12" spans="1:96" x14ac:dyDescent="0.3">
      <c r="A12" s="3" t="s">
        <v>10</v>
      </c>
      <c r="B12" s="1">
        <v>33.501032057776499</v>
      </c>
      <c r="C12" s="1">
        <v>21.194736786992198</v>
      </c>
      <c r="D12" s="1">
        <v>24.615394513572699</v>
      </c>
      <c r="E12" s="1">
        <v>21.6133128908468</v>
      </c>
      <c r="F12" s="33">
        <f t="shared" si="0"/>
        <v>22.474481397137236</v>
      </c>
      <c r="G12" s="1">
        <v>27.292398209025201</v>
      </c>
      <c r="H12" s="1">
        <v>32.2257660886441</v>
      </c>
      <c r="I12" s="1">
        <v>44.874045950861202</v>
      </c>
      <c r="J12" s="13"/>
      <c r="K12" s="3" t="s">
        <v>10</v>
      </c>
      <c r="L12" s="1">
        <v>32.937414347348103</v>
      </c>
      <c r="M12" s="1">
        <v>32.872823720399097</v>
      </c>
      <c r="N12" s="1">
        <v>30.403345101555701</v>
      </c>
      <c r="O12" s="1">
        <v>27.604772417282799</v>
      </c>
      <c r="P12" s="33">
        <f t="shared" si="1"/>
        <v>30.293647079745867</v>
      </c>
      <c r="Q12" s="1">
        <v>33.298668633715799</v>
      </c>
      <c r="R12" s="1">
        <v>44.015066898950799</v>
      </c>
      <c r="S12" s="1">
        <v>68.064650272266107</v>
      </c>
      <c r="T12" s="13"/>
      <c r="U12" s="3" t="s">
        <v>10</v>
      </c>
      <c r="V12" s="1">
        <v>55.442189966503697</v>
      </c>
      <c r="W12" s="1">
        <v>64.389679658130703</v>
      </c>
      <c r="X12" s="1">
        <v>60.980624845785997</v>
      </c>
      <c r="Y12" s="1">
        <v>63.960700949436102</v>
      </c>
      <c r="Z12" s="77">
        <f t="shared" si="2"/>
        <v>63.110335151117603</v>
      </c>
      <c r="AA12" s="1">
        <v>55.497876356772103</v>
      </c>
      <c r="AB12" s="1">
        <v>55.505210693248799</v>
      </c>
      <c r="AC12" s="1">
        <v>57.441057215798203</v>
      </c>
      <c r="AE12" s="3" t="s">
        <v>6</v>
      </c>
      <c r="AF12" s="12">
        <v>60.126898327113302</v>
      </c>
      <c r="AG12" s="12">
        <v>44.441278231891097</v>
      </c>
      <c r="AH12" s="12">
        <v>38.925467922430101</v>
      </c>
      <c r="AI12" s="12">
        <v>50.560420927673903</v>
      </c>
      <c r="AJ12" s="33">
        <f t="shared" si="3"/>
        <v>44.642389027331696</v>
      </c>
      <c r="AK12" s="12">
        <v>59.770045451993198</v>
      </c>
      <c r="AL12" s="12">
        <v>56.083349625919801</v>
      </c>
      <c r="AM12" s="12">
        <v>69.988663678329104</v>
      </c>
      <c r="AO12" s="3" t="s">
        <v>6</v>
      </c>
      <c r="AP12" s="12">
        <v>51.6757896538019</v>
      </c>
      <c r="AQ12" s="12">
        <v>53.380537075747498</v>
      </c>
      <c r="AR12" s="12">
        <v>70.518591240369503</v>
      </c>
      <c r="AS12" s="12">
        <v>60.913678188697403</v>
      </c>
      <c r="AT12" s="33">
        <f t="shared" si="4"/>
        <v>61.604268834938132</v>
      </c>
      <c r="AU12" s="12">
        <v>55.930633244317697</v>
      </c>
      <c r="AV12" s="12">
        <v>59.644796090524601</v>
      </c>
      <c r="AW12" s="12">
        <v>56.441912195112899</v>
      </c>
      <c r="AY12" s="3" t="s">
        <v>6</v>
      </c>
      <c r="AZ12" s="12">
        <v>53.320106640213297</v>
      </c>
      <c r="BA12" s="12">
        <v>60.492111501675801</v>
      </c>
      <c r="BB12" s="12">
        <v>62.909567496723497</v>
      </c>
      <c r="BC12" s="12">
        <v>60.2582496413199</v>
      </c>
      <c r="BD12" s="33">
        <f t="shared" si="5"/>
        <v>61.219976213239732</v>
      </c>
      <c r="BE12" s="12">
        <v>55.337009919253099</v>
      </c>
      <c r="BF12" s="12">
        <v>56.668690548472</v>
      </c>
      <c r="BG12" s="12">
        <v>53.750119127037102</v>
      </c>
    </row>
    <row r="13" spans="1:96" x14ac:dyDescent="0.3">
      <c r="A13" s="3" t="s">
        <v>17</v>
      </c>
      <c r="B13" s="1">
        <v>41.256259493177801</v>
      </c>
      <c r="C13" s="1">
        <v>17.997008298389702</v>
      </c>
      <c r="D13" s="1">
        <v>27.806882045199401</v>
      </c>
      <c r="E13" s="1">
        <v>19.362626121540998</v>
      </c>
      <c r="F13" s="33">
        <f t="shared" si="0"/>
        <v>21.722172155043367</v>
      </c>
      <c r="G13" s="1">
        <v>39.183904583111399</v>
      </c>
      <c r="H13" s="1">
        <v>28.554323623408798</v>
      </c>
      <c r="I13" s="1">
        <v>32.798319007682899</v>
      </c>
      <c r="J13" s="13"/>
      <c r="K13" s="3" t="s">
        <v>17</v>
      </c>
      <c r="L13" s="1">
        <v>75.387322806104606</v>
      </c>
      <c r="M13" s="1">
        <v>36.5822306270599</v>
      </c>
      <c r="N13" s="1">
        <v>49.176974731575399</v>
      </c>
      <c r="O13" s="1">
        <v>36.049657155145503</v>
      </c>
      <c r="P13" s="33">
        <f t="shared" si="1"/>
        <v>40.602954171260272</v>
      </c>
      <c r="Q13" s="1">
        <v>54.967600962344697</v>
      </c>
      <c r="R13" s="1">
        <v>49.047785193893397</v>
      </c>
      <c r="S13" s="1">
        <v>45.428429669340602</v>
      </c>
      <c r="T13" s="13"/>
      <c r="U13" s="3" t="s">
        <v>17</v>
      </c>
      <c r="V13" s="1">
        <v>83.998472755040794</v>
      </c>
      <c r="W13" s="1">
        <v>93.7549429849158</v>
      </c>
      <c r="X13" s="1">
        <v>92.465951339793094</v>
      </c>
      <c r="Y13" s="1">
        <v>94.813799405985804</v>
      </c>
      <c r="Z13" s="77">
        <f t="shared" si="2"/>
        <v>93.678231243564895</v>
      </c>
      <c r="AA13" s="1">
        <v>79.852361855414003</v>
      </c>
      <c r="AB13" s="1">
        <v>87.162547775106802</v>
      </c>
      <c r="AC13" s="1">
        <v>82.515815531310196</v>
      </c>
      <c r="AE13" s="3" t="s">
        <v>29</v>
      </c>
      <c r="AF13" s="12">
        <v>55.872729526683301</v>
      </c>
      <c r="AG13" s="12">
        <v>38.743478713935097</v>
      </c>
      <c r="AH13" s="12">
        <v>32.144728682780197</v>
      </c>
      <c r="AI13" s="12">
        <v>37.649106548238301</v>
      </c>
      <c r="AJ13" s="33">
        <f t="shared" si="3"/>
        <v>36.179104648317868</v>
      </c>
      <c r="AK13" s="12">
        <v>36.010492298156002</v>
      </c>
      <c r="AL13" s="12">
        <v>50.5550586340118</v>
      </c>
      <c r="AM13" s="12">
        <v>49.252134240789303</v>
      </c>
      <c r="AO13" s="3" t="s">
        <v>29</v>
      </c>
      <c r="AP13" s="12">
        <v>73.131692558445195</v>
      </c>
      <c r="AQ13" s="12">
        <v>60.236006174188802</v>
      </c>
      <c r="AR13" s="12">
        <v>53.265782323453102</v>
      </c>
      <c r="AS13" s="12">
        <v>53.840087359315397</v>
      </c>
      <c r="AT13" s="33">
        <f t="shared" si="4"/>
        <v>55.780625285652434</v>
      </c>
      <c r="AU13" s="12">
        <v>44.603864472688002</v>
      </c>
      <c r="AV13" s="12">
        <v>100.340122816915</v>
      </c>
      <c r="AW13" s="12">
        <v>86.020134913786407</v>
      </c>
      <c r="AY13" s="3" t="s">
        <v>29</v>
      </c>
      <c r="AZ13" s="12">
        <v>52.948057545098202</v>
      </c>
      <c r="BA13" s="12">
        <v>57.381997246206801</v>
      </c>
      <c r="BB13" s="12">
        <v>55.919531104376198</v>
      </c>
      <c r="BC13" s="12">
        <v>56.9940895018294</v>
      </c>
      <c r="BD13" s="33">
        <f t="shared" si="5"/>
        <v>56.76520595080413</v>
      </c>
      <c r="BE13" s="12">
        <v>53.3869782196603</v>
      </c>
      <c r="BF13" s="12">
        <v>52.615168758282003</v>
      </c>
      <c r="BG13" s="12">
        <v>54.411039921143399</v>
      </c>
    </row>
    <row r="14" spans="1:96" x14ac:dyDescent="0.3">
      <c r="A14" s="3" t="s">
        <v>13</v>
      </c>
      <c r="B14" s="1">
        <v>79.952747673016901</v>
      </c>
      <c r="C14" s="1">
        <v>68.719973680209606</v>
      </c>
      <c r="D14" s="1">
        <v>65.868574583385794</v>
      </c>
      <c r="E14" s="1">
        <v>70.971769482605296</v>
      </c>
      <c r="F14" s="33">
        <f t="shared" si="0"/>
        <v>68.520105915400222</v>
      </c>
      <c r="G14" s="1">
        <v>83.777532787734899</v>
      </c>
      <c r="H14" s="1">
        <v>99.574286146266004</v>
      </c>
      <c r="I14" s="1">
        <v>130.269912105597</v>
      </c>
      <c r="J14" s="13"/>
      <c r="K14" s="3" t="s">
        <v>13</v>
      </c>
      <c r="L14" s="1">
        <v>74.375042178471105</v>
      </c>
      <c r="M14" s="1">
        <v>61.447453843334998</v>
      </c>
      <c r="N14" s="1">
        <v>59.985181747836599</v>
      </c>
      <c r="O14" s="1">
        <v>84.845389928056093</v>
      </c>
      <c r="P14" s="33">
        <f t="shared" si="1"/>
        <v>68.759341839742561</v>
      </c>
      <c r="Q14" s="1">
        <v>96.922060683352299</v>
      </c>
      <c r="R14" s="1">
        <v>94.3602595686271</v>
      </c>
      <c r="S14" s="1">
        <v>112.91857648294101</v>
      </c>
      <c r="T14" s="13"/>
      <c r="U14" s="3" t="s">
        <v>13</v>
      </c>
      <c r="V14" s="1">
        <v>59.7179280843675</v>
      </c>
      <c r="W14" s="1">
        <v>65.329048148259403</v>
      </c>
      <c r="X14" s="1">
        <v>63.625786117206999</v>
      </c>
      <c r="Y14" s="1">
        <v>66.647467807627393</v>
      </c>
      <c r="Z14" s="77">
        <f t="shared" si="2"/>
        <v>65.200767357697927</v>
      </c>
      <c r="AA14" s="1">
        <v>58.056429089789503</v>
      </c>
      <c r="AB14" s="1">
        <v>56.962025316455701</v>
      </c>
      <c r="AC14" s="1">
        <v>56.220972867269602</v>
      </c>
      <c r="AE14" s="3" t="s">
        <v>28</v>
      </c>
      <c r="AF14" s="12">
        <v>49.032221346362903</v>
      </c>
      <c r="AG14" s="12">
        <v>29.274171941442599</v>
      </c>
      <c r="AH14" s="12">
        <v>38.454437325229499</v>
      </c>
      <c r="AI14" s="12">
        <v>35.758948264069303</v>
      </c>
      <c r="AJ14" s="33">
        <f t="shared" si="3"/>
        <v>34.495852510247133</v>
      </c>
      <c r="AK14" s="12">
        <v>47.325436814645101</v>
      </c>
      <c r="AL14" s="12">
        <v>33.260635010021097</v>
      </c>
      <c r="AM14" s="12">
        <v>51.242072557616197</v>
      </c>
      <c r="AO14" s="3" t="s">
        <v>28</v>
      </c>
      <c r="AP14" s="12">
        <v>103.36939671747299</v>
      </c>
      <c r="AQ14" s="12">
        <v>42.497927377147498</v>
      </c>
      <c r="AR14" s="12">
        <v>56.124334958193003</v>
      </c>
      <c r="AS14" s="12">
        <v>55.899216306403098</v>
      </c>
      <c r="AT14" s="33">
        <f t="shared" si="4"/>
        <v>51.507159547247873</v>
      </c>
      <c r="AU14" s="12">
        <v>86.716065968921299</v>
      </c>
      <c r="AV14" s="12">
        <v>53.663627459475499</v>
      </c>
      <c r="AW14" s="12">
        <v>97.378274541056498</v>
      </c>
      <c r="AY14" s="3" t="s">
        <v>28</v>
      </c>
      <c r="AZ14" s="12">
        <v>69.287815088143503</v>
      </c>
      <c r="BA14" s="12">
        <v>70.4230048482504</v>
      </c>
      <c r="BB14" s="12">
        <v>69.844116030887605</v>
      </c>
      <c r="BC14" s="12">
        <v>69.533494709557104</v>
      </c>
      <c r="BD14" s="33">
        <f t="shared" si="5"/>
        <v>69.933538529565041</v>
      </c>
      <c r="BE14" s="12">
        <v>71.634769592644105</v>
      </c>
      <c r="BF14" s="12">
        <v>68.641295604454498</v>
      </c>
      <c r="BG14" s="12">
        <v>65.877101407538106</v>
      </c>
    </row>
    <row r="15" spans="1:96" x14ac:dyDescent="0.3">
      <c r="A15" s="3" t="s">
        <v>15</v>
      </c>
      <c r="B15" s="1">
        <v>37.683302004999497</v>
      </c>
      <c r="C15" s="1">
        <v>26.922235480825599</v>
      </c>
      <c r="D15" s="1">
        <v>24.076600513936601</v>
      </c>
      <c r="E15" s="1">
        <v>17.637554630201301</v>
      </c>
      <c r="F15" s="33">
        <f t="shared" si="0"/>
        <v>22.878796874987831</v>
      </c>
      <c r="G15" s="1">
        <v>38.772842729587602</v>
      </c>
      <c r="H15" s="1">
        <v>36.265867075724202</v>
      </c>
      <c r="I15" s="1">
        <v>27.608342728879901</v>
      </c>
      <c r="J15" s="13"/>
      <c r="K15" s="3" t="s">
        <v>15</v>
      </c>
      <c r="L15" s="1">
        <v>59.090210845380099</v>
      </c>
      <c r="M15" s="1">
        <v>43.925936428907903</v>
      </c>
      <c r="N15" s="1">
        <v>48.893321103424803</v>
      </c>
      <c r="O15" s="1">
        <v>33.231323904258701</v>
      </c>
      <c r="P15" s="33">
        <f t="shared" si="1"/>
        <v>42.016860478863798</v>
      </c>
      <c r="Q15" s="1">
        <v>77.292283850699803</v>
      </c>
      <c r="R15" s="1">
        <v>60.669768927184798</v>
      </c>
      <c r="S15" s="1">
        <v>44.380626309217398</v>
      </c>
      <c r="T15" s="13"/>
      <c r="U15" s="3" t="s">
        <v>15</v>
      </c>
      <c r="V15" s="1">
        <v>69.3407296778323</v>
      </c>
      <c r="W15" s="1">
        <v>74.765024209626901</v>
      </c>
      <c r="X15" s="1">
        <v>78.779658497612502</v>
      </c>
      <c r="Y15" s="1">
        <v>83.7760134041622</v>
      </c>
      <c r="Z15" s="77">
        <f t="shared" si="2"/>
        <v>79.106898703800539</v>
      </c>
      <c r="AA15" s="1">
        <v>74.386312918423002</v>
      </c>
      <c r="AB15" s="1">
        <v>70.965925091523502</v>
      </c>
      <c r="AC15" s="1">
        <v>73.010722347629795</v>
      </c>
      <c r="AE15" s="3" t="s">
        <v>27</v>
      </c>
      <c r="AF15" s="12">
        <v>151.33509290586801</v>
      </c>
      <c r="AG15" s="12">
        <v>52.0897322529649</v>
      </c>
      <c r="AH15" s="12">
        <v>53.2156353542251</v>
      </c>
      <c r="AI15" s="12">
        <v>60.800537474128198</v>
      </c>
      <c r="AJ15" s="33">
        <f t="shared" si="3"/>
        <v>55.368635027106059</v>
      </c>
      <c r="AK15" s="12">
        <v>90.065115333296504</v>
      </c>
      <c r="AL15" s="12">
        <v>115.994408066521</v>
      </c>
      <c r="AM15" s="12">
        <v>131.31877863284299</v>
      </c>
      <c r="AO15" s="3" t="s">
        <v>27</v>
      </c>
      <c r="AP15" s="12">
        <v>164.44864973126801</v>
      </c>
      <c r="AQ15" s="12">
        <v>61.195704618418397</v>
      </c>
      <c r="AR15" s="12">
        <v>72.286126379809104</v>
      </c>
      <c r="AS15" s="12">
        <v>77.428243554869397</v>
      </c>
      <c r="AT15" s="33">
        <f t="shared" si="4"/>
        <v>70.303358184365635</v>
      </c>
      <c r="AU15" s="12">
        <v>145.85977228396999</v>
      </c>
      <c r="AV15" s="12">
        <v>151.84345203218101</v>
      </c>
      <c r="AW15" s="12">
        <v>147.50230834285099</v>
      </c>
      <c r="AY15" s="3" t="s">
        <v>27</v>
      </c>
      <c r="AZ15" s="12">
        <v>43.004009227943698</v>
      </c>
      <c r="BA15" s="12">
        <v>47.364021917469003</v>
      </c>
      <c r="BB15" s="12">
        <v>47.924025031876099</v>
      </c>
      <c r="BC15" s="12">
        <v>47.384753012216599</v>
      </c>
      <c r="BD15" s="33">
        <f t="shared" si="5"/>
        <v>47.557599987187238</v>
      </c>
      <c r="BE15" s="12">
        <v>46.583850931676999</v>
      </c>
      <c r="BF15" s="12">
        <v>44.502767159240001</v>
      </c>
      <c r="BG15" s="12">
        <v>41.715691517809397</v>
      </c>
      <c r="BJ15" s="93" t="s">
        <v>72</v>
      </c>
      <c r="BK15" s="93"/>
      <c r="BL15" s="93"/>
      <c r="BM15" s="93"/>
      <c r="BN15" s="93"/>
    </row>
    <row r="16" spans="1:96" x14ac:dyDescent="0.3">
      <c r="A16" s="3" t="s">
        <v>42</v>
      </c>
      <c r="B16" s="1">
        <v>39.177519686428397</v>
      </c>
      <c r="C16" s="1">
        <v>25.2586618806302</v>
      </c>
      <c r="D16" s="1">
        <v>17.764132885618501</v>
      </c>
      <c r="E16" s="1">
        <v>21.303987246791699</v>
      </c>
      <c r="F16" s="33">
        <f t="shared" si="0"/>
        <v>21.442260671013468</v>
      </c>
      <c r="G16" s="1">
        <v>21.592067786674502</v>
      </c>
      <c r="H16" s="1">
        <v>37.099266240123399</v>
      </c>
      <c r="I16" s="1">
        <v>26.9839458443967</v>
      </c>
      <c r="J16" s="13"/>
      <c r="K16" s="3" t="s">
        <v>42</v>
      </c>
      <c r="L16" s="1">
        <v>46.179361696671599</v>
      </c>
      <c r="M16" s="1">
        <v>48.050623535447798</v>
      </c>
      <c r="N16" s="1">
        <v>46.606237742282801</v>
      </c>
      <c r="O16" s="1">
        <v>43.8645604504988</v>
      </c>
      <c r="P16" s="33">
        <f t="shared" si="1"/>
        <v>46.173807242743131</v>
      </c>
      <c r="Q16" s="1">
        <v>49.399728566415099</v>
      </c>
      <c r="R16" s="1">
        <v>68.864377274952005</v>
      </c>
      <c r="S16" s="1">
        <v>38.063919973916498</v>
      </c>
      <c r="T16" s="13"/>
      <c r="U16" s="3" t="s">
        <v>42</v>
      </c>
      <c r="V16" s="1">
        <v>51.526366368822501</v>
      </c>
      <c r="W16" s="1">
        <v>61.145946982867102</v>
      </c>
      <c r="X16" s="1">
        <v>60.676693120225003</v>
      </c>
      <c r="Y16" s="1">
        <v>60.650262945760304</v>
      </c>
      <c r="Z16" s="77">
        <f t="shared" si="2"/>
        <v>60.824301016284132</v>
      </c>
      <c r="AA16" s="1">
        <v>53.623381315484203</v>
      </c>
      <c r="AB16" s="1">
        <v>53.569349015954302</v>
      </c>
      <c r="AC16" s="1">
        <v>53.101431429890702</v>
      </c>
      <c r="AE16" s="3" t="s">
        <v>23</v>
      </c>
      <c r="AF16" s="12">
        <v>45.586323642358003</v>
      </c>
      <c r="AG16" s="12">
        <v>53.470643872105803</v>
      </c>
      <c r="AH16" s="12">
        <v>60.800121397121899</v>
      </c>
      <c r="AI16" s="12">
        <v>52.873476524378603</v>
      </c>
      <c r="AJ16" s="33">
        <f t="shared" si="3"/>
        <v>55.714747264535426</v>
      </c>
      <c r="AK16" s="12">
        <v>55.232624934388703</v>
      </c>
      <c r="AL16" s="12">
        <v>62.325438766689103</v>
      </c>
      <c r="AM16" s="12">
        <v>72.880830021449299</v>
      </c>
      <c r="AO16" s="3" t="s">
        <v>23</v>
      </c>
      <c r="AP16" s="12">
        <v>85.410345893744605</v>
      </c>
      <c r="AQ16" s="12">
        <v>85.659835074805201</v>
      </c>
      <c r="AR16" s="12">
        <v>104.618498896795</v>
      </c>
      <c r="AS16" s="12">
        <v>91.105381324316994</v>
      </c>
      <c r="AT16" s="33">
        <f t="shared" si="4"/>
        <v>93.794571765305747</v>
      </c>
      <c r="AU16" s="12">
        <v>92.000481752321704</v>
      </c>
      <c r="AV16" s="12">
        <v>123.28897314211601</v>
      </c>
      <c r="AW16" s="12">
        <v>123.62453110672701</v>
      </c>
      <c r="AY16" s="3" t="s">
        <v>23</v>
      </c>
      <c r="AZ16" s="12">
        <v>68.592581839297395</v>
      </c>
      <c r="BA16" s="12">
        <v>68.9588324078818</v>
      </c>
      <c r="BB16" s="12">
        <v>70.927903871829102</v>
      </c>
      <c r="BC16" s="12">
        <v>69.688229997259498</v>
      </c>
      <c r="BD16" s="33">
        <f t="shared" si="5"/>
        <v>69.858322092323462</v>
      </c>
      <c r="BE16" s="12">
        <v>63.744128830239298</v>
      </c>
      <c r="BF16" s="12">
        <v>68.982862070204405</v>
      </c>
      <c r="BG16" s="12">
        <v>64.133016627078405</v>
      </c>
      <c r="BJ16" s="8"/>
      <c r="BK16" s="73" t="s">
        <v>155</v>
      </c>
      <c r="BL16" s="73" t="s">
        <v>156</v>
      </c>
      <c r="BM16" s="3" t="s">
        <v>157</v>
      </c>
      <c r="BN16" s="3" t="s">
        <v>158</v>
      </c>
      <c r="BO16" s="56"/>
    </row>
    <row r="17" spans="1:67" x14ac:dyDescent="0.3">
      <c r="A17" s="3" t="s">
        <v>18</v>
      </c>
      <c r="B17" s="1">
        <v>21.720382132918399</v>
      </c>
      <c r="C17" s="1">
        <v>17.0323627981698</v>
      </c>
      <c r="D17" s="1">
        <v>19.4619658807128</v>
      </c>
      <c r="E17" s="1">
        <v>17.8176674607822</v>
      </c>
      <c r="F17" s="33">
        <f t="shared" si="0"/>
        <v>18.1039987132216</v>
      </c>
      <c r="G17" s="1">
        <v>20.462509272185699</v>
      </c>
      <c r="H17" s="1">
        <v>17.602353738715099</v>
      </c>
      <c r="I17" s="1">
        <v>20.832666655999699</v>
      </c>
      <c r="J17" s="13"/>
      <c r="K17" s="3" t="s">
        <v>18</v>
      </c>
      <c r="L17" s="1">
        <v>31.317794992061302</v>
      </c>
      <c r="M17" s="1">
        <v>27.953090025666199</v>
      </c>
      <c r="N17" s="1">
        <v>26.791017237631898</v>
      </c>
      <c r="O17" s="1">
        <v>23.201837810349801</v>
      </c>
      <c r="P17" s="33">
        <f t="shared" si="1"/>
        <v>25.981981691215964</v>
      </c>
      <c r="Q17" s="1">
        <v>21.551678618403599</v>
      </c>
      <c r="R17" s="1">
        <v>46.956926917322299</v>
      </c>
      <c r="S17" s="1">
        <v>50.077902371518299</v>
      </c>
      <c r="T17" s="13"/>
      <c r="U17" s="3" t="s">
        <v>18</v>
      </c>
      <c r="V17" s="1">
        <v>61.981909345158599</v>
      </c>
      <c r="W17" s="1">
        <v>64.819541010253204</v>
      </c>
      <c r="X17" s="1">
        <v>63.394574214979102</v>
      </c>
      <c r="Y17" s="1">
        <v>63.477509565707997</v>
      </c>
      <c r="Z17" s="77">
        <f t="shared" si="2"/>
        <v>63.897208263646775</v>
      </c>
      <c r="AA17" s="1">
        <v>64.042098992205695</v>
      </c>
      <c r="AB17" s="1">
        <v>70.960971465693902</v>
      </c>
      <c r="AC17" s="1">
        <v>68.200568338069502</v>
      </c>
      <c r="AE17" s="4" t="s">
        <v>151</v>
      </c>
      <c r="AF17" s="9">
        <f t="shared" ref="AF17:AM17" si="6">AVERAGE(AF3:AF16)</f>
        <v>46.325442125718403</v>
      </c>
      <c r="AG17" s="9">
        <f t="shared" si="6"/>
        <v>28.752964174420004</v>
      </c>
      <c r="AH17" s="9">
        <f t="shared" si="6"/>
        <v>29.788886562356065</v>
      </c>
      <c r="AI17" s="9">
        <f t="shared" si="6"/>
        <v>30.326062427938094</v>
      </c>
      <c r="AJ17" s="9">
        <f t="shared" si="6"/>
        <v>29.622637721571387</v>
      </c>
      <c r="AK17" s="9">
        <f t="shared" si="6"/>
        <v>37.113836299744371</v>
      </c>
      <c r="AL17" s="9">
        <f t="shared" si="6"/>
        <v>40.771171736357402</v>
      </c>
      <c r="AM17" s="9">
        <f t="shared" si="6"/>
        <v>45.562491419364925</v>
      </c>
      <c r="AO17" s="4" t="s">
        <v>151</v>
      </c>
      <c r="AP17" s="9">
        <f t="shared" ref="AP17:AW17" si="7">AVERAGE(AP3:AP16)</f>
        <v>61.631970106926943</v>
      </c>
      <c r="AQ17" s="9">
        <f t="shared" si="7"/>
        <v>45.74014476965904</v>
      </c>
      <c r="AR17" s="9">
        <f t="shared" si="7"/>
        <v>49.279099883598583</v>
      </c>
      <c r="AS17" s="9">
        <f t="shared" si="7"/>
        <v>46.500629993377082</v>
      </c>
      <c r="AT17" s="9">
        <f t="shared" si="7"/>
        <v>47.173291548878233</v>
      </c>
      <c r="AU17" s="9">
        <f t="shared" si="7"/>
        <v>56.204732975244504</v>
      </c>
      <c r="AV17" s="9">
        <f t="shared" si="7"/>
        <v>61.767216235387245</v>
      </c>
      <c r="AW17" s="9">
        <f t="shared" si="7"/>
        <v>62.401700628976648</v>
      </c>
      <c r="AY17" s="4" t="s">
        <v>151</v>
      </c>
      <c r="AZ17" s="9">
        <f t="shared" ref="AZ17:BG17" si="8">AVERAGE(AZ3:AZ16)</f>
        <v>64.463770610541559</v>
      </c>
      <c r="BA17" s="9">
        <f t="shared" si="8"/>
        <v>69.82209762765811</v>
      </c>
      <c r="BB17" s="9">
        <f t="shared" si="8"/>
        <v>70.046763243957869</v>
      </c>
      <c r="BC17" s="9">
        <f t="shared" si="8"/>
        <v>69.596386852985049</v>
      </c>
      <c r="BD17" s="9">
        <f t="shared" si="8"/>
        <v>69.821749241533666</v>
      </c>
      <c r="BE17" s="9">
        <f t="shared" si="8"/>
        <v>65.377802617915918</v>
      </c>
      <c r="BF17" s="9">
        <f t="shared" si="8"/>
        <v>64.496429218282827</v>
      </c>
      <c r="BG17" s="9">
        <f t="shared" si="8"/>
        <v>62.383024188909438</v>
      </c>
      <c r="BJ17" s="25" t="s">
        <v>52</v>
      </c>
      <c r="BK17" s="38" t="s">
        <v>60</v>
      </c>
      <c r="BL17" s="48">
        <v>0.26500000000000001</v>
      </c>
      <c r="BM17" s="48">
        <v>10.09</v>
      </c>
      <c r="BN17" s="48" t="s">
        <v>169</v>
      </c>
    </row>
    <row r="18" spans="1:67" x14ac:dyDescent="0.3">
      <c r="A18" s="3" t="s">
        <v>20</v>
      </c>
      <c r="B18" s="1">
        <v>14.9494763154187</v>
      </c>
      <c r="C18" s="1">
        <v>10.888745752067001</v>
      </c>
      <c r="D18" s="1">
        <v>11.391889567977501</v>
      </c>
      <c r="E18" s="1">
        <v>13.669727348529401</v>
      </c>
      <c r="F18" s="33">
        <f t="shared" si="0"/>
        <v>11.983454222857967</v>
      </c>
      <c r="G18" s="1">
        <v>20.133339299563598</v>
      </c>
      <c r="H18" s="1">
        <v>21.684781062527001</v>
      </c>
      <c r="I18" s="1">
        <v>16.800297616411498</v>
      </c>
      <c r="J18" s="13"/>
      <c r="K18" s="3" t="s">
        <v>20</v>
      </c>
      <c r="L18" s="1">
        <v>29.727173438016798</v>
      </c>
      <c r="M18" s="1">
        <v>24.489479047327102</v>
      </c>
      <c r="N18" s="1">
        <v>19.215928369823501</v>
      </c>
      <c r="O18" s="1">
        <v>22.515672367693401</v>
      </c>
      <c r="P18" s="33">
        <f t="shared" si="1"/>
        <v>22.073693261614668</v>
      </c>
      <c r="Q18" s="1">
        <v>34.524287103429103</v>
      </c>
      <c r="R18" s="1">
        <v>41.267918128573797</v>
      </c>
      <c r="S18" s="1">
        <v>28.798969969024501</v>
      </c>
      <c r="T18" s="13"/>
      <c r="U18" s="3" t="s">
        <v>20</v>
      </c>
      <c r="V18" s="1">
        <v>84.065724111578206</v>
      </c>
      <c r="W18" s="1">
        <v>91.838441382036805</v>
      </c>
      <c r="X18" s="1">
        <v>92.786318566360407</v>
      </c>
      <c r="Y18" s="1">
        <v>90.9825571365011</v>
      </c>
      <c r="Z18" s="77">
        <f t="shared" si="2"/>
        <v>91.869105694966109</v>
      </c>
      <c r="AA18" s="1">
        <v>84.085430797690506</v>
      </c>
      <c r="AB18" s="1">
        <v>80.989147454241106</v>
      </c>
      <c r="AC18" s="1">
        <v>82.942855604028694</v>
      </c>
      <c r="AE18" s="5" t="s">
        <v>31</v>
      </c>
      <c r="AF18" s="10">
        <f t="shared" ref="AF18:AM18" si="9">_xlfn.STDEV.S(AF3:AF16)</f>
        <v>36.634422022853357</v>
      </c>
      <c r="AG18" s="10">
        <f t="shared" si="9"/>
        <v>16.053451422269795</v>
      </c>
      <c r="AH18" s="10">
        <f t="shared" si="9"/>
        <v>15.190147469752011</v>
      </c>
      <c r="AI18" s="10">
        <f t="shared" si="9"/>
        <v>17.35487503507909</v>
      </c>
      <c r="AJ18" s="10">
        <f t="shared" si="9"/>
        <v>15.925794956163529</v>
      </c>
      <c r="AK18" s="10">
        <f t="shared" si="9"/>
        <v>22.627492183049853</v>
      </c>
      <c r="AL18" s="10">
        <f t="shared" si="9"/>
        <v>27.559203466189494</v>
      </c>
      <c r="AM18" s="10">
        <f t="shared" si="9"/>
        <v>32.28100563881862</v>
      </c>
      <c r="AO18" s="5" t="s">
        <v>31</v>
      </c>
      <c r="AP18" s="10">
        <f t="shared" ref="AP18:AW18" si="10">_xlfn.STDEV.S(AP3:AP16)</f>
        <v>41.912794222456242</v>
      </c>
      <c r="AQ18" s="10">
        <f t="shared" si="10"/>
        <v>19.833365167719005</v>
      </c>
      <c r="AR18" s="10">
        <f t="shared" si="10"/>
        <v>22.924440910163408</v>
      </c>
      <c r="AS18" s="10">
        <f t="shared" si="10"/>
        <v>22.02659159719504</v>
      </c>
      <c r="AT18" s="10">
        <f t="shared" si="10"/>
        <v>20.681123724818065</v>
      </c>
      <c r="AU18" s="10">
        <f t="shared" si="10"/>
        <v>34.397374521331727</v>
      </c>
      <c r="AV18" s="10">
        <f t="shared" si="10"/>
        <v>39.076273228356754</v>
      </c>
      <c r="AW18" s="10">
        <f t="shared" si="10"/>
        <v>41.44057509053588</v>
      </c>
      <c r="AY18" s="5" t="s">
        <v>31</v>
      </c>
      <c r="AZ18" s="10">
        <f t="shared" ref="AZ18:BG18" si="11">_xlfn.STDEV.S(AZ3:AZ16)</f>
        <v>11.849325834494994</v>
      </c>
      <c r="BA18" s="10">
        <f t="shared" si="11"/>
        <v>11.556108304462748</v>
      </c>
      <c r="BB18" s="10">
        <f t="shared" si="11"/>
        <v>11.28699691239718</v>
      </c>
      <c r="BC18" s="10">
        <f t="shared" si="11"/>
        <v>11.637428074364632</v>
      </c>
      <c r="BD18" s="10">
        <f t="shared" si="11"/>
        <v>11.436108815004243</v>
      </c>
      <c r="BE18" s="10">
        <f t="shared" si="11"/>
        <v>10.76789577908186</v>
      </c>
      <c r="BF18" s="10">
        <f t="shared" si="11"/>
        <v>10.790546729993139</v>
      </c>
      <c r="BG18" s="10">
        <f t="shared" si="11"/>
        <v>9.8688380575525372</v>
      </c>
      <c r="BJ18" s="25" t="s">
        <v>54</v>
      </c>
      <c r="BK18" s="69">
        <v>0.43</v>
      </c>
      <c r="BL18" s="48">
        <v>2.1999999999999999E-2</v>
      </c>
      <c r="BM18" s="48">
        <v>0.64200000000000002</v>
      </c>
      <c r="BN18" s="48" t="s">
        <v>160</v>
      </c>
    </row>
    <row r="19" spans="1:67" x14ac:dyDescent="0.3">
      <c r="A19" s="4" t="s">
        <v>151</v>
      </c>
      <c r="B19" s="9">
        <f>AVERAGE(B3:B18)</f>
        <v>36.018590657990096</v>
      </c>
      <c r="C19" s="9">
        <f t="shared" ref="C19:I19" si="12">AVERAGE(C3:C18)</f>
        <v>26.116504213488561</v>
      </c>
      <c r="D19" s="9">
        <f t="shared" si="12"/>
        <v>25.52321318662111</v>
      </c>
      <c r="E19" s="9">
        <f t="shared" si="12"/>
        <v>25.079169145465706</v>
      </c>
      <c r="F19" s="9">
        <f t="shared" ref="F19" si="13">AVERAGE(F3:F18)</f>
        <v>25.572962181858454</v>
      </c>
      <c r="G19" s="9">
        <f t="shared" si="12"/>
        <v>30.286468612995701</v>
      </c>
      <c r="H19" s="9">
        <f t="shared" si="12"/>
        <v>35.922973121739666</v>
      </c>
      <c r="I19" s="9">
        <f t="shared" si="12"/>
        <v>38.194052632980302</v>
      </c>
      <c r="K19" s="4" t="s">
        <v>151</v>
      </c>
      <c r="L19" s="9">
        <f>AVERAGE(L3:L18)</f>
        <v>44.963860460665039</v>
      </c>
      <c r="M19" s="9">
        <f t="shared" ref="M19" si="14">AVERAGE(M3:M18)</f>
        <v>40.966817497520218</v>
      </c>
      <c r="N19" s="9">
        <f t="shared" ref="N19" si="15">AVERAGE(N3:N18)</f>
        <v>39.2369640034646</v>
      </c>
      <c r="O19" s="9">
        <f t="shared" ref="O19:P19" si="16">AVERAGE(O3:O18)</f>
        <v>39.449943994193951</v>
      </c>
      <c r="P19" s="9">
        <f t="shared" si="16"/>
        <v>39.884575165059594</v>
      </c>
      <c r="Q19" s="9">
        <f t="shared" ref="Q19" si="17">AVERAGE(Q3:Q18)</f>
        <v>41.55382445457181</v>
      </c>
      <c r="R19" s="9">
        <f t="shared" ref="R19" si="18">AVERAGE(R3:R18)</f>
        <v>48.791227589251626</v>
      </c>
      <c r="S19" s="9">
        <f t="shared" ref="S19" si="19">AVERAGE(S3:S18)</f>
        <v>45.416136065875996</v>
      </c>
      <c r="U19" s="4" t="s">
        <v>151</v>
      </c>
      <c r="V19" s="9">
        <f>AVERAGE(V3:V18)</f>
        <v>67.81168119349509</v>
      </c>
      <c r="W19" s="9">
        <f t="shared" ref="W19" si="20">AVERAGE(W3:W18)</f>
        <v>75.182082840893713</v>
      </c>
      <c r="X19" s="9">
        <f t="shared" ref="X19" si="21">AVERAGE(X3:X18)</f>
        <v>75.354438473161736</v>
      </c>
      <c r="Y19" s="9">
        <f t="shared" ref="Y19:Z19" si="22">AVERAGE(Y3:Y18)</f>
        <v>75.81045035868577</v>
      </c>
      <c r="Z19" s="9">
        <f t="shared" si="22"/>
        <v>75.448990557580402</v>
      </c>
      <c r="AA19" s="9">
        <f t="shared" ref="AA19" si="23">AVERAGE(AA3:AA18)</f>
        <v>68.38288355216612</v>
      </c>
      <c r="AB19" s="9">
        <f t="shared" ref="AB19" si="24">AVERAGE(AB3:AB18)</f>
        <v>67.119938002127896</v>
      </c>
      <c r="AC19" s="9">
        <f t="shared" ref="AC19" si="25">AVERAGE(AC3:AC18)</f>
        <v>67.38140884353281</v>
      </c>
      <c r="BJ19" s="25" t="s">
        <v>55</v>
      </c>
      <c r="BK19" s="69">
        <v>0.73199999999999998</v>
      </c>
      <c r="BL19" s="48">
        <v>1.4E-2</v>
      </c>
      <c r="BM19" s="48">
        <v>0.40699999999999997</v>
      </c>
      <c r="BN19" s="48" t="s">
        <v>169</v>
      </c>
    </row>
    <row r="20" spans="1:67" x14ac:dyDescent="0.3">
      <c r="A20" s="5" t="s">
        <v>31</v>
      </c>
      <c r="B20" s="10">
        <f>+_xlfn.STDEV.S(B3:B18)</f>
        <v>16.480551657090885</v>
      </c>
      <c r="C20" s="10">
        <f t="shared" ref="C20:I20" si="26">+_xlfn.STDEV.S(C3:C18)</f>
        <v>14.157340425031848</v>
      </c>
      <c r="D20" s="10">
        <f t="shared" si="26"/>
        <v>14.603343933481177</v>
      </c>
      <c r="E20" s="10">
        <f t="shared" si="26"/>
        <v>15.746131390269316</v>
      </c>
      <c r="F20" s="10">
        <f t="shared" ref="F20" si="27">+_xlfn.STDEV.S(F3:F18)</f>
        <v>14.472247216622526</v>
      </c>
      <c r="G20" s="10">
        <f t="shared" si="26"/>
        <v>18.898500936788174</v>
      </c>
      <c r="H20" s="10">
        <f t="shared" si="26"/>
        <v>23.244935847402385</v>
      </c>
      <c r="I20" s="10">
        <f t="shared" si="26"/>
        <v>27.788570925374774</v>
      </c>
      <c r="K20" s="5" t="s">
        <v>31</v>
      </c>
      <c r="L20" s="10">
        <f>+_xlfn.STDEV.S(L3:L18)</f>
        <v>15.852379111374091</v>
      </c>
      <c r="M20" s="10">
        <f t="shared" ref="M20:S20" si="28">+_xlfn.STDEV.S(M3:M18)</f>
        <v>14.145557774326697</v>
      </c>
      <c r="N20" s="10">
        <f t="shared" si="28"/>
        <v>16.415695134061814</v>
      </c>
      <c r="O20" s="10">
        <f t="shared" si="28"/>
        <v>18.769757931818791</v>
      </c>
      <c r="P20" s="10">
        <f t="shared" ref="P20" si="29">+_xlfn.STDEV.S(P3:P18)</f>
        <v>14.822396403347556</v>
      </c>
      <c r="Q20" s="10">
        <f t="shared" si="28"/>
        <v>25.113696071286494</v>
      </c>
      <c r="R20" s="10">
        <f t="shared" si="28"/>
        <v>22.051479319108093</v>
      </c>
      <c r="S20" s="10">
        <f t="shared" si="28"/>
        <v>22.134350714362348</v>
      </c>
      <c r="U20" s="5" t="s">
        <v>31</v>
      </c>
      <c r="V20" s="10">
        <f>+_xlfn.STDEV.S(V3:V18)</f>
        <v>13.257957766540423</v>
      </c>
      <c r="W20" s="10">
        <f t="shared" ref="W20:AC20" si="30">+_xlfn.STDEV.S(W3:W18)</f>
        <v>14.465280462577434</v>
      </c>
      <c r="X20" s="10">
        <f t="shared" si="30"/>
        <v>15.110354733311462</v>
      </c>
      <c r="Y20" s="10">
        <f t="shared" si="30"/>
        <v>14.290250563938619</v>
      </c>
      <c r="Z20" s="10">
        <f t="shared" ref="Z20" si="31">+_xlfn.STDEV.S(Z3:Z18)</f>
        <v>14.507441278756097</v>
      </c>
      <c r="AA20" s="10">
        <f t="shared" si="30"/>
        <v>12.839049396407113</v>
      </c>
      <c r="AB20" s="10">
        <f t="shared" si="30"/>
        <v>12.335136550643918</v>
      </c>
      <c r="AC20" s="10">
        <f t="shared" si="30"/>
        <v>12.760408344430138</v>
      </c>
      <c r="BJ20" s="8"/>
      <c r="BK20" s="8"/>
      <c r="BL20" s="8"/>
      <c r="BM20" s="8"/>
      <c r="BN20" s="8"/>
    </row>
    <row r="21" spans="1:67" x14ac:dyDescent="0.3">
      <c r="BJ21" s="25" t="s">
        <v>58</v>
      </c>
      <c r="BK21" s="3" t="s">
        <v>59</v>
      </c>
      <c r="BL21" s="52">
        <v>4.0000000000000001E-3</v>
      </c>
      <c r="BM21" s="52"/>
      <c r="BN21" s="52"/>
      <c r="BO21" s="56"/>
    </row>
    <row r="22" spans="1:67" x14ac:dyDescent="0.3">
      <c r="BJ22" s="25" t="s">
        <v>59</v>
      </c>
      <c r="BK22" s="3" t="s">
        <v>48</v>
      </c>
      <c r="BL22" s="52">
        <v>8.9999999999999993E-3</v>
      </c>
      <c r="BM22" s="52"/>
      <c r="BN22" s="52"/>
    </row>
    <row r="23" spans="1:67" x14ac:dyDescent="0.3">
      <c r="BJ23" s="25" t="s">
        <v>59</v>
      </c>
      <c r="BK23" s="3" t="s">
        <v>61</v>
      </c>
      <c r="BL23" s="52">
        <v>2E-3</v>
      </c>
      <c r="BM23" s="52"/>
      <c r="BN23" s="52"/>
    </row>
    <row r="24" spans="1:67" x14ac:dyDescent="0.3">
      <c r="AM24" s="2"/>
      <c r="AN24" s="2"/>
      <c r="AO24" s="2"/>
      <c r="BJ24" s="25" t="s">
        <v>59</v>
      </c>
      <c r="BK24" s="3" t="s">
        <v>62</v>
      </c>
      <c r="BL24" s="52">
        <v>1E-3</v>
      </c>
      <c r="BM24" s="52"/>
      <c r="BN24" s="52"/>
    </row>
    <row r="25" spans="1:67" x14ac:dyDescent="0.3">
      <c r="I25" s="2"/>
      <c r="AM25" s="2"/>
      <c r="AN25" s="2"/>
      <c r="AO25" s="2"/>
      <c r="BJ25" s="14" t="s">
        <v>48</v>
      </c>
      <c r="BK25" s="14" t="s">
        <v>62</v>
      </c>
      <c r="BL25" s="52">
        <v>2.5000000000000001E-2</v>
      </c>
      <c r="BM25" s="52"/>
      <c r="BN25" s="52"/>
    </row>
    <row r="26" spans="1:67" x14ac:dyDescent="0.3">
      <c r="I26" s="2"/>
      <c r="AD26" s="27"/>
      <c r="AM26" s="2"/>
      <c r="AN26" s="2"/>
      <c r="AO26" s="2"/>
      <c r="BO26" s="56"/>
    </row>
    <row r="27" spans="1:67" x14ac:dyDescent="0.3">
      <c r="I27" s="2"/>
      <c r="AD27" s="27"/>
      <c r="AM27" s="2"/>
      <c r="AN27" s="2"/>
      <c r="AO27" s="2"/>
    </row>
    <row r="28" spans="1:67" x14ac:dyDescent="0.3">
      <c r="I28" s="2"/>
      <c r="AD28" s="27"/>
      <c r="AM28" s="2"/>
      <c r="AN28" s="2"/>
      <c r="AO28" s="2"/>
    </row>
    <row r="29" spans="1:67" x14ac:dyDescent="0.3">
      <c r="I29" s="2"/>
      <c r="AD29" s="27"/>
      <c r="AM29" s="2"/>
      <c r="AN29" s="2"/>
      <c r="AO29" s="2"/>
    </row>
    <row r="30" spans="1:67" x14ac:dyDescent="0.3">
      <c r="I30" s="2"/>
      <c r="AD30" s="27"/>
      <c r="AM30" s="2"/>
      <c r="AN30" s="2"/>
      <c r="AO30" s="2"/>
    </row>
    <row r="31" spans="1:67" x14ac:dyDescent="0.3">
      <c r="I31" s="2"/>
      <c r="BJ31" s="84" t="s">
        <v>73</v>
      </c>
      <c r="BK31" s="85"/>
      <c r="BL31" s="85"/>
      <c r="BM31" s="85"/>
      <c r="BN31" s="86"/>
    </row>
    <row r="32" spans="1:67" x14ac:dyDescent="0.3">
      <c r="BJ32" s="8"/>
      <c r="BK32" s="73" t="s">
        <v>155</v>
      </c>
      <c r="BL32" s="73" t="s">
        <v>156</v>
      </c>
      <c r="BM32" s="3" t="s">
        <v>157</v>
      </c>
      <c r="BN32" s="3" t="s">
        <v>158</v>
      </c>
    </row>
    <row r="33" spans="62:66" x14ac:dyDescent="0.3">
      <c r="BJ33" s="25" t="s">
        <v>52</v>
      </c>
      <c r="BK33" s="38">
        <v>1.0999999999999999E-2</v>
      </c>
      <c r="BL33" s="48">
        <v>0.109</v>
      </c>
      <c r="BM33" s="48">
        <v>3.42</v>
      </c>
      <c r="BN33" s="48" t="s">
        <v>170</v>
      </c>
    </row>
    <row r="34" spans="62:66" x14ac:dyDescent="0.3">
      <c r="BJ34" s="25" t="s">
        <v>54</v>
      </c>
      <c r="BK34" s="69">
        <v>0.159</v>
      </c>
      <c r="BL34" s="48">
        <v>7.0000000000000007E-2</v>
      </c>
      <c r="BM34" s="48">
        <v>2.09</v>
      </c>
      <c r="BN34" s="48" t="s">
        <v>160</v>
      </c>
    </row>
    <row r="35" spans="62:66" x14ac:dyDescent="0.3">
      <c r="BJ35" s="25" t="s">
        <v>55</v>
      </c>
      <c r="BK35" s="69">
        <v>0.68200000000000005</v>
      </c>
      <c r="BL35" s="48">
        <v>0.02</v>
      </c>
      <c r="BM35" s="48">
        <v>0.56999999999999995</v>
      </c>
      <c r="BN35" s="48" t="s">
        <v>170</v>
      </c>
    </row>
    <row r="36" spans="62:66" x14ac:dyDescent="0.3">
      <c r="BJ36" s="25" t="s">
        <v>59</v>
      </c>
      <c r="BK36" s="3" t="s">
        <v>61</v>
      </c>
      <c r="BL36" s="52">
        <v>2.5999999999999999E-2</v>
      </c>
      <c r="BM36" s="52"/>
      <c r="BN36" s="52"/>
    </row>
    <row r="41" spans="62:66" x14ac:dyDescent="0.3">
      <c r="BJ41" s="84" t="s">
        <v>174</v>
      </c>
      <c r="BK41" s="85"/>
      <c r="BL41" s="85"/>
      <c r="BM41" s="85"/>
      <c r="BN41" s="86"/>
    </row>
    <row r="42" spans="62:66" x14ac:dyDescent="0.3">
      <c r="BJ42" s="8"/>
      <c r="BK42" s="73" t="s">
        <v>155</v>
      </c>
      <c r="BL42" s="73" t="s">
        <v>156</v>
      </c>
      <c r="BM42" s="3" t="s">
        <v>157</v>
      </c>
      <c r="BN42" s="3" t="s">
        <v>158</v>
      </c>
    </row>
    <row r="43" spans="62:66" x14ac:dyDescent="0.3">
      <c r="BJ43" s="25" t="s">
        <v>52</v>
      </c>
      <c r="BK43" s="69">
        <v>0.79900000000000004</v>
      </c>
      <c r="BL43" s="48">
        <v>8.0000000000000002E-3</v>
      </c>
      <c r="BM43" s="48">
        <v>0.22600000000000001</v>
      </c>
      <c r="BN43" s="48" t="s">
        <v>173</v>
      </c>
    </row>
    <row r="44" spans="62:66" x14ac:dyDescent="0.3">
      <c r="BJ44" s="25" t="s">
        <v>54</v>
      </c>
      <c r="BK44" s="69">
        <v>0.24399999999999999</v>
      </c>
      <c r="BL44" s="48">
        <v>4.8000000000000001E-2</v>
      </c>
      <c r="BM44" s="75">
        <v>1.42</v>
      </c>
      <c r="BN44" s="48" t="s">
        <v>160</v>
      </c>
    </row>
    <row r="45" spans="62:66" x14ac:dyDescent="0.3">
      <c r="BJ45" s="25" t="s">
        <v>55</v>
      </c>
      <c r="BK45" s="69">
        <v>0.55900000000000005</v>
      </c>
      <c r="BL45" s="48">
        <v>2.1000000000000001E-2</v>
      </c>
      <c r="BM45" s="48">
        <v>0.58799999999999997</v>
      </c>
      <c r="BN45" s="48" t="s">
        <v>173</v>
      </c>
    </row>
    <row r="49" spans="62:66" x14ac:dyDescent="0.3">
      <c r="BJ49" s="93" t="s">
        <v>176</v>
      </c>
      <c r="BK49" s="93"/>
      <c r="BL49" s="93"/>
      <c r="BM49" s="93"/>
      <c r="BN49" s="93"/>
    </row>
    <row r="50" spans="62:66" x14ac:dyDescent="0.3">
      <c r="BJ50" s="8"/>
      <c r="BK50" s="73" t="s">
        <v>155</v>
      </c>
      <c r="BL50" s="73" t="s">
        <v>156</v>
      </c>
      <c r="BM50" s="3" t="s">
        <v>157</v>
      </c>
      <c r="BN50" s="3" t="s">
        <v>158</v>
      </c>
    </row>
    <row r="51" spans="62:66" x14ac:dyDescent="0.3">
      <c r="BJ51" s="25" t="s">
        <v>52</v>
      </c>
      <c r="BK51" s="69">
        <v>0.95499999999999996</v>
      </c>
      <c r="BL51" s="48">
        <v>2E-3</v>
      </c>
      <c r="BM51" s="48">
        <v>0.05</v>
      </c>
      <c r="BN51" s="48" t="s">
        <v>173</v>
      </c>
    </row>
    <row r="52" spans="62:66" x14ac:dyDescent="0.3">
      <c r="BJ52" s="25" t="s">
        <v>54</v>
      </c>
      <c r="BK52" s="69">
        <v>0.48299999999999998</v>
      </c>
      <c r="BL52" s="48">
        <v>1.7999999999999999E-2</v>
      </c>
      <c r="BM52" s="48">
        <v>0.5</v>
      </c>
      <c r="BN52" s="48" t="s">
        <v>160</v>
      </c>
    </row>
    <row r="53" spans="62:66" x14ac:dyDescent="0.3">
      <c r="BJ53" s="25" t="s">
        <v>55</v>
      </c>
      <c r="BK53" s="69">
        <v>0.45600000000000002</v>
      </c>
      <c r="BL53" s="48">
        <v>2.8000000000000001E-2</v>
      </c>
      <c r="BM53" s="48">
        <v>0.8</v>
      </c>
      <c r="BN53" s="48" t="s">
        <v>173</v>
      </c>
    </row>
    <row r="56" spans="62:66" x14ac:dyDescent="0.3">
      <c r="BJ56" s="93" t="s">
        <v>175</v>
      </c>
      <c r="BK56" s="93"/>
      <c r="BL56" s="93"/>
      <c r="BM56" s="93"/>
      <c r="BN56" s="93"/>
    </row>
    <row r="57" spans="62:66" x14ac:dyDescent="0.3">
      <c r="BJ57" s="8"/>
      <c r="BK57" s="73" t="s">
        <v>155</v>
      </c>
      <c r="BL57" s="73" t="s">
        <v>156</v>
      </c>
      <c r="BM57" s="3" t="s">
        <v>157</v>
      </c>
      <c r="BN57" s="3" t="s">
        <v>158</v>
      </c>
    </row>
    <row r="58" spans="62:66" x14ac:dyDescent="0.3">
      <c r="BJ58" s="25" t="s">
        <v>52</v>
      </c>
      <c r="BK58" s="69">
        <v>0.83499999999999996</v>
      </c>
      <c r="BL58" s="48">
        <v>6.0000000000000001E-3</v>
      </c>
      <c r="BM58" s="48">
        <v>0.18099999999999999</v>
      </c>
      <c r="BN58" s="48" t="s">
        <v>173</v>
      </c>
    </row>
    <row r="59" spans="62:66" x14ac:dyDescent="0.3">
      <c r="BJ59" s="25" t="s">
        <v>54</v>
      </c>
      <c r="BK59" s="69">
        <v>0.27500000000000002</v>
      </c>
      <c r="BL59" s="48">
        <v>4.2000000000000003E-2</v>
      </c>
      <c r="BM59" s="48">
        <v>1.24</v>
      </c>
      <c r="BN59" s="48" t="s">
        <v>160</v>
      </c>
    </row>
    <row r="60" spans="62:66" x14ac:dyDescent="0.3">
      <c r="BJ60" s="25" t="s">
        <v>55</v>
      </c>
      <c r="BK60" s="69">
        <v>0.48499999999999999</v>
      </c>
      <c r="BL60" s="48">
        <v>2.5999999999999999E-2</v>
      </c>
      <c r="BM60" s="48">
        <v>0.73299999999999998</v>
      </c>
      <c r="BN60" s="48" t="s">
        <v>173</v>
      </c>
    </row>
    <row r="61" spans="62:66" x14ac:dyDescent="0.3">
      <c r="BJ61" s="25"/>
      <c r="BK61" s="3"/>
      <c r="BL61" s="52"/>
      <c r="BM61" s="52"/>
      <c r="BN61" s="52"/>
    </row>
    <row r="73" spans="75:82" x14ac:dyDescent="0.3">
      <c r="BW73" s="50"/>
      <c r="BX73" s="50"/>
      <c r="BY73" s="50"/>
      <c r="BZ73" s="50"/>
      <c r="CA73" s="51"/>
      <c r="CB73" s="49">
        <v>2.81</v>
      </c>
      <c r="CC73" s="18">
        <v>3.07</v>
      </c>
      <c r="CD73" s="18">
        <v>3.75</v>
      </c>
    </row>
    <row r="74" spans="75:82" x14ac:dyDescent="0.3">
      <c r="BW74" s="50"/>
      <c r="BX74" s="50"/>
      <c r="BY74" s="50"/>
      <c r="BZ74" s="50"/>
      <c r="CA74" s="51"/>
      <c r="CB74" s="49">
        <v>5.4</v>
      </c>
      <c r="CC74" s="18">
        <v>5.22</v>
      </c>
      <c r="CD74" s="18">
        <v>5.37</v>
      </c>
    </row>
    <row r="75" spans="75:82" x14ac:dyDescent="0.3">
      <c r="BW75" s="50"/>
      <c r="BX75" s="50"/>
      <c r="BY75" s="50"/>
      <c r="BZ75" s="50"/>
      <c r="CA75" s="51"/>
      <c r="CB75" s="49">
        <v>4.13</v>
      </c>
      <c r="CC75" s="18">
        <v>3.89</v>
      </c>
      <c r="CD75" s="18">
        <v>3.72</v>
      </c>
    </row>
    <row r="76" spans="75:82" x14ac:dyDescent="0.3">
      <c r="BW76" s="50"/>
      <c r="BX76" s="50"/>
      <c r="BY76" s="50"/>
      <c r="BZ76" s="50"/>
      <c r="CA76" s="51"/>
      <c r="CB76" s="49">
        <v>3.36</v>
      </c>
      <c r="CC76" s="18">
        <v>3.23</v>
      </c>
      <c r="CD76" s="18">
        <v>3.3</v>
      </c>
    </row>
    <row r="77" spans="75:82" x14ac:dyDescent="0.3">
      <c r="BW77" s="50"/>
      <c r="BX77" s="50"/>
      <c r="BY77" s="50"/>
      <c r="BZ77" s="50"/>
      <c r="CA77" s="51"/>
      <c r="CB77" s="49">
        <v>3.87</v>
      </c>
      <c r="CC77" s="18">
        <v>3.36</v>
      </c>
      <c r="CD77" s="18">
        <v>3.65</v>
      </c>
    </row>
    <row r="78" spans="75:82" x14ac:dyDescent="0.3">
      <c r="BW78" s="50"/>
      <c r="BX78" s="50"/>
      <c r="BY78" s="50"/>
      <c r="BZ78" s="50"/>
      <c r="CA78" s="51"/>
      <c r="CB78" s="49">
        <v>4.43</v>
      </c>
      <c r="CC78" s="18">
        <v>4.4400000000000004</v>
      </c>
      <c r="CD78" s="18">
        <v>4.25</v>
      </c>
    </row>
    <row r="79" spans="75:82" x14ac:dyDescent="0.3">
      <c r="BW79" s="50"/>
      <c r="BX79" s="50"/>
      <c r="BY79" s="50"/>
      <c r="BZ79" s="50"/>
      <c r="CA79" s="51"/>
      <c r="CB79" s="49">
        <v>3.54</v>
      </c>
      <c r="CC79" s="18">
        <v>3.72</v>
      </c>
      <c r="CD79" s="18">
        <v>3.63</v>
      </c>
    </row>
    <row r="80" spans="75:82" x14ac:dyDescent="0.3">
      <c r="BW80" s="50"/>
      <c r="BX80" s="50"/>
      <c r="BY80" s="50"/>
      <c r="BZ80" s="50"/>
      <c r="CA80" s="51"/>
      <c r="CB80" s="49">
        <v>3.72</v>
      </c>
      <c r="CC80" s="18">
        <v>4.13</v>
      </c>
      <c r="CD80" s="18">
        <v>4.07</v>
      </c>
    </row>
    <row r="81" spans="75:82" x14ac:dyDescent="0.3">
      <c r="BW81" s="50"/>
      <c r="BX81" s="50"/>
      <c r="BY81" s="50"/>
      <c r="BZ81" s="50"/>
      <c r="CA81" s="51"/>
      <c r="CB81" s="49">
        <v>2.5299999999999998</v>
      </c>
      <c r="CC81" s="30">
        <f>AVERAGE(CB81,CD81)</f>
        <v>2.57</v>
      </c>
      <c r="CD81" s="18">
        <v>2.61</v>
      </c>
    </row>
    <row r="82" spans="75:82" x14ac:dyDescent="0.3">
      <c r="BW82" s="50"/>
      <c r="BX82" s="50"/>
      <c r="BY82" s="50"/>
      <c r="BZ82" s="50"/>
      <c r="CA82" s="51"/>
      <c r="CB82" s="49">
        <v>3.33</v>
      </c>
      <c r="CC82" s="18">
        <v>4.17</v>
      </c>
      <c r="CD82" s="18">
        <v>4.08</v>
      </c>
    </row>
    <row r="83" spans="75:82" x14ac:dyDescent="0.3">
      <c r="BW83" s="50"/>
      <c r="BX83" s="50"/>
      <c r="BY83" s="50"/>
      <c r="BZ83" s="50"/>
      <c r="CA83" s="51"/>
      <c r="CB83" s="49">
        <v>3.77</v>
      </c>
      <c r="CC83" s="18">
        <v>3.9</v>
      </c>
      <c r="CD83" s="18">
        <v>3.63</v>
      </c>
    </row>
    <row r="84" spans="75:82" x14ac:dyDescent="0.3">
      <c r="BW84" s="50"/>
      <c r="BX84" s="50"/>
      <c r="BY84" s="50"/>
      <c r="BZ84" s="50"/>
      <c r="CA84" s="51"/>
      <c r="CB84" s="49">
        <v>4.3600000000000003</v>
      </c>
      <c r="CC84" s="18">
        <v>4.33</v>
      </c>
      <c r="CD84" s="18">
        <v>4.5199999999999996</v>
      </c>
    </row>
    <row r="85" spans="75:82" x14ac:dyDescent="0.3">
      <c r="BW85" s="50"/>
      <c r="BX85" s="50"/>
      <c r="BY85" s="50"/>
      <c r="BZ85" s="50"/>
      <c r="CA85" s="51"/>
      <c r="CB85" s="49">
        <v>3.81</v>
      </c>
      <c r="CC85" s="18">
        <v>3.8</v>
      </c>
      <c r="CD85" s="18">
        <v>3.93</v>
      </c>
    </row>
    <row r="86" spans="75:82" x14ac:dyDescent="0.3">
      <c r="BW86" s="50"/>
      <c r="BX86" s="50"/>
      <c r="BY86" s="50"/>
      <c r="BZ86" s="50"/>
      <c r="CA86" s="51"/>
      <c r="CB86" s="49">
        <v>3.82</v>
      </c>
      <c r="CC86" s="18">
        <v>3.62</v>
      </c>
      <c r="CD86" s="18">
        <v>3.83</v>
      </c>
    </row>
    <row r="87" spans="75:82" x14ac:dyDescent="0.3">
      <c r="BW87" s="50"/>
      <c r="BX87" s="50"/>
      <c r="BY87" s="50"/>
      <c r="BZ87" s="50"/>
      <c r="CA87" s="51"/>
      <c r="CB87" s="49">
        <v>3.21</v>
      </c>
      <c r="CC87" s="18">
        <v>3.3</v>
      </c>
      <c r="CD87" s="18">
        <v>3.25</v>
      </c>
    </row>
    <row r="88" spans="75:82" x14ac:dyDescent="0.3">
      <c r="BW88" s="50"/>
      <c r="BX88" s="50"/>
      <c r="BY88" s="50"/>
      <c r="BZ88" s="50"/>
      <c r="CA88" s="51"/>
      <c r="CB88" s="49">
        <v>3.4</v>
      </c>
      <c r="CC88" s="18">
        <v>3.29</v>
      </c>
      <c r="CD88" s="18">
        <v>3.07</v>
      </c>
    </row>
    <row r="89" spans="75:82" x14ac:dyDescent="0.3">
      <c r="BW89" s="50"/>
      <c r="BX89" s="50"/>
      <c r="BY89" s="50"/>
      <c r="BZ89" s="50"/>
      <c r="CA89" s="51"/>
      <c r="CB89" s="49">
        <v>4.25</v>
      </c>
      <c r="CC89" s="18">
        <v>4.3600000000000003</v>
      </c>
      <c r="CD89" s="18">
        <v>4.45</v>
      </c>
    </row>
    <row r="90" spans="75:82" x14ac:dyDescent="0.3">
      <c r="BW90" s="50"/>
      <c r="BX90" s="50"/>
      <c r="BY90" s="50"/>
      <c r="BZ90" s="50"/>
      <c r="CA90" s="51"/>
      <c r="CB90" s="49">
        <v>3.82</v>
      </c>
      <c r="CC90" s="18">
        <v>3.63</v>
      </c>
      <c r="CD90" s="18">
        <v>3.69</v>
      </c>
    </row>
    <row r="91" spans="75:82" x14ac:dyDescent="0.3">
      <c r="BW91" s="50"/>
      <c r="BX91" s="50"/>
      <c r="BY91" s="50"/>
      <c r="BZ91" s="50"/>
      <c r="CA91" s="51"/>
      <c r="CB91" s="49">
        <v>4.2300000000000004</v>
      </c>
      <c r="CC91" s="18">
        <v>4.5199999999999996</v>
      </c>
      <c r="CD91" s="18">
        <v>4.22</v>
      </c>
    </row>
    <row r="92" spans="75:82" x14ac:dyDescent="0.3">
      <c r="BW92" s="50"/>
      <c r="BX92" s="50"/>
      <c r="BY92" s="50"/>
      <c r="BZ92" s="50"/>
      <c r="CA92" s="51"/>
      <c r="CB92" s="49">
        <v>4.29</v>
      </c>
      <c r="CC92" s="18">
        <v>4.43</v>
      </c>
      <c r="CD92" s="18">
        <v>4.41</v>
      </c>
    </row>
    <row r="93" spans="75:82" x14ac:dyDescent="0.3">
      <c r="BW93" s="50"/>
      <c r="BX93" s="50"/>
      <c r="BY93" s="50"/>
      <c r="BZ93" s="50"/>
      <c r="CA93" s="51"/>
      <c r="CB93" s="49">
        <v>4.24</v>
      </c>
      <c r="CC93" s="18">
        <v>4.3600000000000003</v>
      </c>
      <c r="CD93" s="18">
        <v>4.49</v>
      </c>
    </row>
    <row r="94" spans="75:82" x14ac:dyDescent="0.3">
      <c r="BW94" s="50"/>
      <c r="BX94" s="50"/>
      <c r="BY94" s="50"/>
      <c r="BZ94" s="50"/>
      <c r="CA94" s="51"/>
      <c r="CB94" s="49">
        <v>3.24</v>
      </c>
      <c r="CC94" s="18">
        <v>3.6</v>
      </c>
      <c r="CD94" s="18">
        <v>3.26</v>
      </c>
    </row>
    <row r="95" spans="75:82" x14ac:dyDescent="0.3">
      <c r="BW95" s="50"/>
      <c r="BX95" s="50"/>
      <c r="BY95" s="50"/>
      <c r="BZ95" s="50"/>
      <c r="CA95" s="51"/>
      <c r="CB95" s="49">
        <v>3.02</v>
      </c>
      <c r="CC95" s="18">
        <v>3.18</v>
      </c>
      <c r="CD95" s="18">
        <v>3</v>
      </c>
    </row>
  </sheetData>
  <mergeCells count="15">
    <mergeCell ref="BJ41:BN41"/>
    <mergeCell ref="BJ49:BN49"/>
    <mergeCell ref="BJ56:BN56"/>
    <mergeCell ref="BJ31:BN31"/>
    <mergeCell ref="B1:I1"/>
    <mergeCell ref="AF1:AM1"/>
    <mergeCell ref="AP1:AW1"/>
    <mergeCell ref="BJ15:BN15"/>
    <mergeCell ref="BJ1:BN1"/>
    <mergeCell ref="BQ1:BX1"/>
    <mergeCell ref="CA1:CH1"/>
    <mergeCell ref="CK1:CR1"/>
    <mergeCell ref="AZ1:BG1"/>
    <mergeCell ref="L1:S1"/>
    <mergeCell ref="V1:AC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AB17-E0C5-4D5C-8506-7CE55BFDBED3}">
  <dimension ref="A1:AI20"/>
  <sheetViews>
    <sheetView zoomScale="99" zoomScaleNormal="85" workbookViewId="0">
      <selection activeCell="J24" sqref="A24:XFD54"/>
    </sheetView>
  </sheetViews>
  <sheetFormatPr baseColWidth="10" defaultColWidth="11.44140625" defaultRowHeight="14.4" x14ac:dyDescent="0.3"/>
  <cols>
    <col min="3" max="3" width="12.109375" bestFit="1" customWidth="1"/>
    <col min="4" max="5" width="12.44140625" bestFit="1" customWidth="1"/>
    <col min="12" max="12" width="7.21875" customWidth="1"/>
    <col min="13" max="13" width="12.109375" bestFit="1" customWidth="1"/>
    <col min="14" max="15" width="12.44140625" bestFit="1" customWidth="1"/>
    <col min="29" max="31" width="0" hidden="1" customWidth="1"/>
  </cols>
  <sheetData>
    <row r="1" spans="1:35" ht="15" customHeight="1" thickBot="1" x14ac:dyDescent="0.35">
      <c r="A1" s="94" t="s">
        <v>145</v>
      </c>
      <c r="B1" s="94"/>
      <c r="C1" s="94"/>
      <c r="D1" s="94"/>
      <c r="E1" s="94"/>
      <c r="F1" s="94"/>
      <c r="G1" s="94"/>
      <c r="H1" s="94"/>
      <c r="I1" s="94"/>
      <c r="J1" s="31"/>
      <c r="K1" s="94" t="s">
        <v>146</v>
      </c>
      <c r="L1" s="94"/>
      <c r="M1" s="94"/>
      <c r="N1" s="94"/>
      <c r="O1" s="94"/>
      <c r="P1" s="94"/>
      <c r="Q1" s="94"/>
      <c r="R1" s="94"/>
      <c r="S1" s="94"/>
      <c r="U1" s="93" t="s">
        <v>144</v>
      </c>
      <c r="V1" s="93"/>
      <c r="W1" s="93"/>
      <c r="X1" s="93"/>
      <c r="Y1" s="93"/>
      <c r="AB1" s="76" t="s">
        <v>46</v>
      </c>
      <c r="AC1" s="76" t="s">
        <v>80</v>
      </c>
      <c r="AD1" s="76" t="s">
        <v>81</v>
      </c>
      <c r="AE1" s="76" t="s">
        <v>82</v>
      </c>
      <c r="AF1" s="76" t="s">
        <v>83</v>
      </c>
      <c r="AG1" s="76" t="s">
        <v>48</v>
      </c>
      <c r="AH1" s="76" t="s">
        <v>49</v>
      </c>
      <c r="AI1" s="76" t="s">
        <v>50</v>
      </c>
    </row>
    <row r="2" spans="1:35" ht="15" thickBot="1" x14ac:dyDescent="0.35">
      <c r="A2" s="72" t="s">
        <v>86</v>
      </c>
      <c r="B2" s="72" t="s">
        <v>58</v>
      </c>
      <c r="C2" s="72" t="s">
        <v>80</v>
      </c>
      <c r="D2" s="72" t="s">
        <v>81</v>
      </c>
      <c r="E2" s="72" t="s">
        <v>82</v>
      </c>
      <c r="F2" s="72" t="s">
        <v>51</v>
      </c>
      <c r="G2" s="73" t="s">
        <v>48</v>
      </c>
      <c r="H2" s="73" t="s">
        <v>130</v>
      </c>
      <c r="I2" s="73" t="s">
        <v>131</v>
      </c>
      <c r="J2" s="31"/>
      <c r="K2" s="72" t="s">
        <v>86</v>
      </c>
      <c r="L2" s="72" t="s">
        <v>58</v>
      </c>
      <c r="M2" s="72" t="s">
        <v>80</v>
      </c>
      <c r="N2" s="72" t="s">
        <v>81</v>
      </c>
      <c r="O2" s="72" t="s">
        <v>82</v>
      </c>
      <c r="P2" s="72" t="s">
        <v>51</v>
      </c>
      <c r="Q2" s="73" t="s">
        <v>48</v>
      </c>
      <c r="R2" s="73" t="s">
        <v>130</v>
      </c>
      <c r="S2" s="73" t="s">
        <v>131</v>
      </c>
      <c r="U2" s="8"/>
      <c r="V2" s="73" t="s">
        <v>155</v>
      </c>
      <c r="W2" s="73" t="s">
        <v>156</v>
      </c>
      <c r="X2" s="3" t="s">
        <v>157</v>
      </c>
      <c r="Y2" s="3" t="s">
        <v>158</v>
      </c>
      <c r="AA2" s="8" t="s">
        <v>35</v>
      </c>
      <c r="AB2" s="24" cm="1">
        <f t="array" ref="AB2:AI2">(B17:I17)*60</f>
        <v>15.642857142857148</v>
      </c>
      <c r="AC2" s="24">
        <v>19.114285714285717</v>
      </c>
      <c r="AD2" s="24">
        <v>18.171428571428574</v>
      </c>
      <c r="AE2" s="24">
        <v>18.771428571428569</v>
      </c>
      <c r="AF2" s="24">
        <v>18.685714285714283</v>
      </c>
      <c r="AG2" s="24">
        <v>19.414285714285715</v>
      </c>
      <c r="AH2" s="24">
        <v>19.071428571428573</v>
      </c>
      <c r="AI2" s="24">
        <v>16.88571428571429</v>
      </c>
    </row>
    <row r="3" spans="1:35" ht="15" thickBot="1" x14ac:dyDescent="0.35">
      <c r="A3" s="3" t="s">
        <v>22</v>
      </c>
      <c r="B3" s="18">
        <v>0.25</v>
      </c>
      <c r="C3" s="18">
        <v>0.3</v>
      </c>
      <c r="D3" s="18">
        <v>0.32</v>
      </c>
      <c r="E3" s="18">
        <v>0.32</v>
      </c>
      <c r="F3" s="33">
        <f>AVERAGE(C3:E3)</f>
        <v>0.3133333333333333</v>
      </c>
      <c r="G3" s="18">
        <v>0.28000000000000003</v>
      </c>
      <c r="H3" s="18">
        <v>0.3</v>
      </c>
      <c r="I3" s="18">
        <v>0.3</v>
      </c>
      <c r="J3" s="31"/>
      <c r="K3" s="3" t="s">
        <v>8</v>
      </c>
      <c r="L3" s="18">
        <v>0.32</v>
      </c>
      <c r="M3" s="18">
        <v>0.33</v>
      </c>
      <c r="N3" s="18">
        <v>0.31</v>
      </c>
      <c r="O3" s="18">
        <v>0.31</v>
      </c>
      <c r="P3" s="33">
        <f>AVERAGE(M3:O3)</f>
        <v>0.31666666666666665</v>
      </c>
      <c r="Q3" s="18">
        <v>0.47</v>
      </c>
      <c r="R3" s="18">
        <v>0.3</v>
      </c>
      <c r="S3" s="18">
        <v>0.23</v>
      </c>
      <c r="U3" s="25" t="s">
        <v>52</v>
      </c>
      <c r="V3" s="38" t="s">
        <v>60</v>
      </c>
      <c r="W3" s="48">
        <v>0.20100000000000001</v>
      </c>
      <c r="X3" s="8">
        <v>7.04</v>
      </c>
      <c r="Y3" s="8" t="s">
        <v>167</v>
      </c>
      <c r="AA3" s="8" t="s">
        <v>34</v>
      </c>
      <c r="AB3" s="24" cm="1">
        <f t="array" ref="AB3:AI3">(L19:S19)*60</f>
        <v>16.912500000000001</v>
      </c>
      <c r="AC3" s="24">
        <v>20.962500000000002</v>
      </c>
      <c r="AD3" s="24">
        <v>20.662500000000001</v>
      </c>
      <c r="AE3" s="24">
        <v>21.975000000000005</v>
      </c>
      <c r="AF3" s="24">
        <v>21.2</v>
      </c>
      <c r="AG3" s="24">
        <v>18.75</v>
      </c>
      <c r="AH3" s="24">
        <v>17.8125</v>
      </c>
      <c r="AI3" s="24">
        <v>16.274999999999999</v>
      </c>
    </row>
    <row r="4" spans="1:35" ht="15" thickBot="1" x14ac:dyDescent="0.35">
      <c r="A4" s="3" t="s">
        <v>3</v>
      </c>
      <c r="B4" s="18">
        <v>0.32</v>
      </c>
      <c r="C4" s="18">
        <v>0.21</v>
      </c>
      <c r="D4" s="18">
        <v>0.23</v>
      </c>
      <c r="E4" s="18">
        <v>0.24</v>
      </c>
      <c r="F4" s="33">
        <f t="shared" ref="F4:F11" si="0">AVERAGE(C4:E4)</f>
        <v>0.22666666666666666</v>
      </c>
      <c r="G4" s="18">
        <v>0.4</v>
      </c>
      <c r="H4" s="18">
        <v>0.4</v>
      </c>
      <c r="I4" s="18">
        <v>0.32</v>
      </c>
      <c r="J4" s="31"/>
      <c r="K4" s="3" t="s">
        <v>12</v>
      </c>
      <c r="L4" s="18">
        <v>0.22</v>
      </c>
      <c r="M4" s="18">
        <v>0.39</v>
      </c>
      <c r="N4" s="18">
        <v>0.42</v>
      </c>
      <c r="O4" s="18">
        <v>0.5</v>
      </c>
      <c r="P4" s="33">
        <f t="shared" ref="P4:P11" si="1">AVERAGE(M4:O4)</f>
        <v>0.4366666666666667</v>
      </c>
      <c r="Q4" s="18">
        <v>0.32</v>
      </c>
      <c r="R4" s="18">
        <v>0.28000000000000003</v>
      </c>
      <c r="S4" s="18">
        <v>0.28000000000000003</v>
      </c>
      <c r="U4" s="25" t="s">
        <v>54</v>
      </c>
      <c r="V4" s="69">
        <v>0.74299999999999999</v>
      </c>
      <c r="W4" s="48">
        <v>4.0000000000000001E-3</v>
      </c>
      <c r="X4" s="8">
        <v>0.109</v>
      </c>
      <c r="Y4" s="8" t="s">
        <v>160</v>
      </c>
      <c r="AA4" s="8" t="s">
        <v>56</v>
      </c>
      <c r="AB4" s="24" cm="1">
        <f t="array" ref="AB4:AI4">(B18:I18)*60</f>
        <v>2.6360559950029736</v>
      </c>
      <c r="AC4" s="24">
        <v>5.4274029974475981</v>
      </c>
      <c r="AD4" s="24">
        <v>3.2899447204681374</v>
      </c>
      <c r="AE4" s="24">
        <v>2.9528157543471676</v>
      </c>
      <c r="AF4" s="24">
        <v>3.6329384468005874</v>
      </c>
      <c r="AG4" s="24">
        <v>5.1807123274488198</v>
      </c>
      <c r="AH4" s="24">
        <v>3.0246242160558801</v>
      </c>
      <c r="AI4" s="24">
        <v>3.0032948939090436</v>
      </c>
    </row>
    <row r="5" spans="1:35" ht="15" thickBot="1" x14ac:dyDescent="0.35">
      <c r="A5" s="3" t="s">
        <v>36</v>
      </c>
      <c r="B5" s="18">
        <v>0.3</v>
      </c>
      <c r="C5" s="18">
        <v>0.35</v>
      </c>
      <c r="D5" s="18">
        <v>0.33</v>
      </c>
      <c r="E5" s="18">
        <v>0.33</v>
      </c>
      <c r="F5" s="33">
        <f t="shared" si="0"/>
        <v>0.33666666666666667</v>
      </c>
      <c r="G5" s="18">
        <v>0.28000000000000003</v>
      </c>
      <c r="H5" s="18">
        <v>0.33</v>
      </c>
      <c r="I5" s="18">
        <v>0.32</v>
      </c>
      <c r="J5" s="31"/>
      <c r="K5" s="3" t="s">
        <v>4</v>
      </c>
      <c r="L5" s="18">
        <v>0.28000000000000003</v>
      </c>
      <c r="M5" s="18">
        <v>0.25</v>
      </c>
      <c r="N5" s="18">
        <v>0.25</v>
      </c>
      <c r="O5" s="18">
        <v>0.25</v>
      </c>
      <c r="P5" s="33">
        <f t="shared" si="1"/>
        <v>0.25</v>
      </c>
      <c r="Q5" s="18">
        <v>0.27</v>
      </c>
      <c r="R5" s="18">
        <v>0.22</v>
      </c>
      <c r="S5" s="18">
        <v>0.22</v>
      </c>
      <c r="U5" s="25" t="s">
        <v>55</v>
      </c>
      <c r="V5" s="40">
        <v>0.17100000000000001</v>
      </c>
      <c r="W5" s="48">
        <v>5.8000000000000003E-2</v>
      </c>
      <c r="X5" s="8">
        <v>1.71</v>
      </c>
      <c r="Y5" s="8" t="s">
        <v>167</v>
      </c>
      <c r="AA5" s="8" t="s">
        <v>57</v>
      </c>
      <c r="AB5" s="24" cm="1">
        <f t="array" ref="AB5:AI5">(L20:S20)*60</f>
        <v>3.4517386923114399</v>
      </c>
      <c r="AC5" s="24">
        <v>4.7115284144319771</v>
      </c>
      <c r="AD5" s="24">
        <v>4.7998437474567766</v>
      </c>
      <c r="AE5" s="24">
        <v>5.3075418038862301</v>
      </c>
      <c r="AF5" s="24">
        <v>4.5054041624106036</v>
      </c>
      <c r="AG5" s="24">
        <v>4.2057104037249129</v>
      </c>
      <c r="AH5" s="24">
        <v>2.7339531817498277</v>
      </c>
      <c r="AI5" s="24">
        <v>2.5159491250818267</v>
      </c>
    </row>
    <row r="6" spans="1:35" ht="15" thickBot="1" x14ac:dyDescent="0.35">
      <c r="A6" s="3" t="s">
        <v>25</v>
      </c>
      <c r="B6" s="18">
        <v>0.28000000000000003</v>
      </c>
      <c r="C6" s="18">
        <v>0.37</v>
      </c>
      <c r="D6" s="18">
        <v>0.38</v>
      </c>
      <c r="E6" s="18">
        <v>0.34</v>
      </c>
      <c r="F6" s="33">
        <f t="shared" si="0"/>
        <v>0.36333333333333334</v>
      </c>
      <c r="G6" s="18">
        <v>0.27</v>
      </c>
      <c r="H6" s="18">
        <v>0.32</v>
      </c>
      <c r="I6" s="18">
        <v>0.23</v>
      </c>
      <c r="J6" s="31"/>
      <c r="K6" s="3" t="s">
        <v>5</v>
      </c>
      <c r="L6" s="18">
        <v>0.32</v>
      </c>
      <c r="M6" s="18">
        <v>0.25</v>
      </c>
      <c r="N6" s="18">
        <v>0.34</v>
      </c>
      <c r="O6" s="18">
        <v>0.37</v>
      </c>
      <c r="P6" s="33">
        <f t="shared" si="1"/>
        <v>0.32</v>
      </c>
      <c r="Q6" s="18">
        <v>0.42</v>
      </c>
      <c r="R6" s="18">
        <v>0.38</v>
      </c>
      <c r="S6" s="18">
        <v>0.28000000000000003</v>
      </c>
      <c r="U6" s="71" t="s">
        <v>58</v>
      </c>
      <c r="V6" s="71" t="s">
        <v>59</v>
      </c>
      <c r="W6" s="38" t="s">
        <v>154</v>
      </c>
      <c r="X6" s="8"/>
      <c r="Y6" s="8"/>
    </row>
    <row r="7" spans="1:35" ht="15" thickBot="1" x14ac:dyDescent="0.35">
      <c r="A7" s="3" t="s">
        <v>16</v>
      </c>
      <c r="B7" s="18">
        <v>0.25</v>
      </c>
      <c r="C7" s="18">
        <v>0.33</v>
      </c>
      <c r="D7" s="18">
        <v>0.32</v>
      </c>
      <c r="E7" s="18">
        <v>0.33</v>
      </c>
      <c r="F7" s="33">
        <f t="shared" si="0"/>
        <v>0.32666666666666666</v>
      </c>
      <c r="G7" s="18">
        <v>0.33</v>
      </c>
      <c r="H7" s="18">
        <v>0.25</v>
      </c>
      <c r="I7" s="18">
        <v>0.35</v>
      </c>
      <c r="J7" s="31"/>
      <c r="K7" s="3" t="s">
        <v>39</v>
      </c>
      <c r="L7" s="18">
        <v>0.27</v>
      </c>
      <c r="M7" s="18">
        <v>0.25</v>
      </c>
      <c r="N7" s="18">
        <v>0.25</v>
      </c>
      <c r="O7" s="18">
        <v>0.4</v>
      </c>
      <c r="P7" s="33">
        <f t="shared" si="1"/>
        <v>0.3</v>
      </c>
      <c r="Q7" s="18">
        <v>0.28000000000000003</v>
      </c>
      <c r="R7" s="18">
        <v>0.32</v>
      </c>
      <c r="S7" s="18">
        <v>0.3</v>
      </c>
      <c r="U7" s="71" t="s">
        <v>58</v>
      </c>
      <c r="V7" s="71" t="s">
        <v>48</v>
      </c>
      <c r="W7" s="38">
        <v>1.2999999999999999E-2</v>
      </c>
    </row>
    <row r="8" spans="1:35" ht="15" thickBot="1" x14ac:dyDescent="0.35">
      <c r="A8" s="3" t="s">
        <v>26</v>
      </c>
      <c r="B8" s="18">
        <v>0.27</v>
      </c>
      <c r="C8" s="18">
        <v>0.37</v>
      </c>
      <c r="D8" s="18">
        <v>0.36</v>
      </c>
      <c r="E8" s="18">
        <v>0.35</v>
      </c>
      <c r="F8" s="33">
        <f t="shared" si="0"/>
        <v>0.36000000000000004</v>
      </c>
      <c r="G8" s="18">
        <v>0.27</v>
      </c>
      <c r="H8" s="18">
        <v>0.28000000000000003</v>
      </c>
      <c r="I8" s="18">
        <v>0.33</v>
      </c>
      <c r="J8" s="31"/>
      <c r="K8" s="3" t="s">
        <v>9</v>
      </c>
      <c r="L8" s="18">
        <v>0.3</v>
      </c>
      <c r="M8" s="18">
        <v>0.4</v>
      </c>
      <c r="N8" s="18">
        <v>0.37</v>
      </c>
      <c r="O8" s="18">
        <v>0.39</v>
      </c>
      <c r="P8" s="33">
        <f t="shared" si="1"/>
        <v>0.38666666666666671</v>
      </c>
      <c r="Q8" s="18">
        <v>0.3</v>
      </c>
      <c r="R8" s="18">
        <v>0.28000000000000003</v>
      </c>
      <c r="S8" s="18">
        <v>0.3</v>
      </c>
      <c r="U8" s="71" t="s">
        <v>58</v>
      </c>
      <c r="V8" s="71" t="s">
        <v>61</v>
      </c>
      <c r="W8" s="38">
        <v>2.8000000000000001E-2</v>
      </c>
    </row>
    <row r="9" spans="1:35" ht="15" thickBot="1" x14ac:dyDescent="0.35">
      <c r="A9" s="3" t="s">
        <v>19</v>
      </c>
      <c r="B9" s="18">
        <v>0.2</v>
      </c>
      <c r="C9" s="18">
        <v>0.22</v>
      </c>
      <c r="D9" s="18">
        <v>0.23</v>
      </c>
      <c r="E9" s="18">
        <v>0.26</v>
      </c>
      <c r="F9" s="33">
        <f t="shared" si="0"/>
        <v>0.23666666666666666</v>
      </c>
      <c r="G9" s="18">
        <v>0.28000000000000003</v>
      </c>
      <c r="H9" s="18">
        <v>0.33</v>
      </c>
      <c r="I9" s="18">
        <v>0.23</v>
      </c>
      <c r="J9" s="31"/>
      <c r="K9" s="3" t="s">
        <v>7</v>
      </c>
      <c r="L9" s="18">
        <v>0.28000000000000003</v>
      </c>
      <c r="M9" s="18">
        <v>0.37</v>
      </c>
      <c r="N9" s="18">
        <v>0.37</v>
      </c>
      <c r="O9" s="18">
        <v>0.37</v>
      </c>
      <c r="P9" s="33">
        <f t="shared" si="1"/>
        <v>0.36999999999999994</v>
      </c>
      <c r="Q9" s="18">
        <v>0.3</v>
      </c>
      <c r="R9" s="18">
        <v>0.27</v>
      </c>
      <c r="S9" s="18">
        <v>0.3</v>
      </c>
      <c r="U9" s="71" t="s">
        <v>59</v>
      </c>
      <c r="V9" s="71" t="s">
        <v>62</v>
      </c>
      <c r="W9" s="38" t="s">
        <v>154</v>
      </c>
    </row>
    <row r="10" spans="1:35" ht="15" thickBot="1" x14ac:dyDescent="0.35">
      <c r="A10" s="3" t="s">
        <v>24</v>
      </c>
      <c r="B10" s="18">
        <v>0.33</v>
      </c>
      <c r="C10" s="18">
        <v>0.28000000000000003</v>
      </c>
      <c r="D10" s="18">
        <v>0.27</v>
      </c>
      <c r="E10" s="18">
        <v>0.27</v>
      </c>
      <c r="F10" s="33">
        <f t="shared" si="0"/>
        <v>0.27333333333333337</v>
      </c>
      <c r="G10" s="18">
        <v>0.28000000000000003</v>
      </c>
      <c r="H10" s="18">
        <v>0.27</v>
      </c>
      <c r="I10" s="18">
        <v>0.23</v>
      </c>
      <c r="J10" s="31"/>
      <c r="K10" s="3" t="s">
        <v>14</v>
      </c>
      <c r="L10" s="18">
        <v>0.32</v>
      </c>
      <c r="M10" s="18">
        <v>0.39</v>
      </c>
      <c r="N10" s="18">
        <v>0.41</v>
      </c>
      <c r="O10" s="18">
        <v>0.45</v>
      </c>
      <c r="P10" s="33">
        <f t="shared" si="1"/>
        <v>0.41666666666666669</v>
      </c>
      <c r="Q10" s="18">
        <v>0.35</v>
      </c>
      <c r="R10" s="18">
        <v>0.3</v>
      </c>
      <c r="S10" s="18">
        <v>0.35</v>
      </c>
      <c r="U10" s="69"/>
      <c r="V10" s="69"/>
      <c r="W10" s="69"/>
    </row>
    <row r="11" spans="1:35" ht="15" thickBot="1" x14ac:dyDescent="0.35">
      <c r="A11" s="3" t="s">
        <v>21</v>
      </c>
      <c r="B11" s="18">
        <v>0.27</v>
      </c>
      <c r="C11" s="18">
        <v>0.56999999999999995</v>
      </c>
      <c r="D11" s="18">
        <v>0.36</v>
      </c>
      <c r="E11" s="18">
        <v>0.43</v>
      </c>
      <c r="F11" s="33">
        <f t="shared" si="0"/>
        <v>0.45333333333333331</v>
      </c>
      <c r="G11" s="18">
        <v>0.33</v>
      </c>
      <c r="H11" s="18">
        <v>0.32</v>
      </c>
      <c r="I11" s="18">
        <v>0.23</v>
      </c>
      <c r="J11" s="31"/>
      <c r="K11" s="3" t="s">
        <v>11</v>
      </c>
      <c r="L11" s="18">
        <v>0.25</v>
      </c>
      <c r="M11" s="18">
        <v>0.34</v>
      </c>
      <c r="N11" s="18">
        <v>0.33</v>
      </c>
      <c r="O11" s="18">
        <v>0.33</v>
      </c>
      <c r="P11" s="33">
        <f t="shared" si="1"/>
        <v>0.33333333333333331</v>
      </c>
      <c r="Q11" s="18">
        <v>0.27</v>
      </c>
      <c r="R11" s="18">
        <v>0.28000000000000003</v>
      </c>
      <c r="S11" s="18">
        <v>0.3</v>
      </c>
      <c r="U11" s="69"/>
      <c r="V11" s="69"/>
      <c r="W11" s="38"/>
    </row>
    <row r="12" spans="1:35" ht="15" thickBot="1" x14ac:dyDescent="0.35">
      <c r="A12" s="3" t="s">
        <v>6</v>
      </c>
      <c r="B12" s="18">
        <v>0.25</v>
      </c>
      <c r="C12" s="18">
        <v>0.26</v>
      </c>
      <c r="D12" s="18">
        <v>0.28999999999999998</v>
      </c>
      <c r="E12" s="18">
        <v>0.28999999999999998</v>
      </c>
      <c r="F12" s="33">
        <f>AVERAGE(C12:E12)</f>
        <v>0.28000000000000003</v>
      </c>
      <c r="G12" s="18">
        <v>0.32</v>
      </c>
      <c r="H12" s="18">
        <v>0.37</v>
      </c>
      <c r="I12" s="18">
        <v>0.28000000000000003</v>
      </c>
      <c r="J12" s="31"/>
      <c r="K12" s="3" t="s">
        <v>10</v>
      </c>
      <c r="L12" s="18">
        <v>0.2</v>
      </c>
      <c r="M12" s="18">
        <v>0.49</v>
      </c>
      <c r="N12" s="18">
        <v>0.31</v>
      </c>
      <c r="O12" s="18">
        <v>0.4</v>
      </c>
      <c r="P12" s="33">
        <f t="shared" ref="P12:P18" si="2">AVERAGE(M12:O12)</f>
        <v>0.40000000000000008</v>
      </c>
      <c r="Q12" s="18">
        <v>0.28000000000000003</v>
      </c>
      <c r="R12" s="18">
        <v>0.37</v>
      </c>
      <c r="S12" s="18">
        <v>0.25</v>
      </c>
    </row>
    <row r="13" spans="1:35" ht="15" thickBot="1" x14ac:dyDescent="0.35">
      <c r="A13" s="3" t="s">
        <v>29</v>
      </c>
      <c r="B13" s="18">
        <v>0.18</v>
      </c>
      <c r="C13" s="18">
        <v>0.22</v>
      </c>
      <c r="D13" s="18">
        <v>0.21</v>
      </c>
      <c r="E13" s="18">
        <v>0.31</v>
      </c>
      <c r="F13" s="33">
        <f>AVERAGE(C13:E13)</f>
        <v>0.24666666666666667</v>
      </c>
      <c r="G13" s="18">
        <v>0.27</v>
      </c>
      <c r="H13" s="18">
        <v>0.25</v>
      </c>
      <c r="I13" s="18">
        <v>0.25</v>
      </c>
      <c r="J13" s="31"/>
      <c r="K13" s="3" t="s">
        <v>17</v>
      </c>
      <c r="L13" s="18">
        <v>0.28000000000000003</v>
      </c>
      <c r="M13" s="18">
        <v>0.42</v>
      </c>
      <c r="N13" s="18">
        <v>0.49</v>
      </c>
      <c r="O13" s="18">
        <v>0.5</v>
      </c>
      <c r="P13" s="33">
        <f t="shared" si="2"/>
        <v>0.47</v>
      </c>
      <c r="Q13" s="18">
        <v>0.23</v>
      </c>
      <c r="R13" s="18">
        <v>0.32</v>
      </c>
      <c r="S13" s="18">
        <v>0.28000000000000003</v>
      </c>
      <c r="U13" s="93" t="s">
        <v>172</v>
      </c>
      <c r="V13" s="93"/>
      <c r="W13" s="93"/>
      <c r="X13" s="93"/>
      <c r="Y13" s="93"/>
    </row>
    <row r="14" spans="1:35" ht="15" thickBot="1" x14ac:dyDescent="0.35">
      <c r="A14" s="3" t="s">
        <v>27</v>
      </c>
      <c r="B14" s="18">
        <v>0.28000000000000003</v>
      </c>
      <c r="C14" s="18">
        <v>0.33</v>
      </c>
      <c r="D14" s="18">
        <v>0.33</v>
      </c>
      <c r="E14" s="18">
        <v>0.33</v>
      </c>
      <c r="F14" s="33">
        <f>AVERAGE(C14:E14)</f>
        <v>0.33</v>
      </c>
      <c r="G14" s="18">
        <v>0.47</v>
      </c>
      <c r="H14" s="18">
        <v>0.38</v>
      </c>
      <c r="I14" s="18">
        <v>0.27</v>
      </c>
      <c r="J14" s="31"/>
      <c r="K14" s="3" t="s">
        <v>13</v>
      </c>
      <c r="L14" s="18">
        <v>0.22</v>
      </c>
      <c r="M14" s="18">
        <v>0.27</v>
      </c>
      <c r="N14" s="18">
        <v>0.25</v>
      </c>
      <c r="O14" s="18">
        <v>0.23</v>
      </c>
      <c r="P14" s="33">
        <f t="shared" si="2"/>
        <v>0.25</v>
      </c>
      <c r="Q14" s="18">
        <v>0.22</v>
      </c>
      <c r="R14" s="18">
        <v>0.22</v>
      </c>
      <c r="S14" s="18">
        <v>0.2</v>
      </c>
      <c r="U14" s="8"/>
      <c r="V14" s="73" t="s">
        <v>155</v>
      </c>
      <c r="W14" s="73" t="s">
        <v>156</v>
      </c>
      <c r="X14" s="3" t="s">
        <v>157</v>
      </c>
      <c r="Y14" s="3" t="s">
        <v>158</v>
      </c>
    </row>
    <row r="15" spans="1:35" ht="15" thickBot="1" x14ac:dyDescent="0.35">
      <c r="A15" s="3" t="s">
        <v>23</v>
      </c>
      <c r="B15" s="18">
        <v>0.2</v>
      </c>
      <c r="C15" s="18">
        <v>0.33</v>
      </c>
      <c r="D15" s="18">
        <v>0.35</v>
      </c>
      <c r="E15" s="18">
        <v>0.33</v>
      </c>
      <c r="F15" s="33">
        <f>AVERAGE(C15:E15)</f>
        <v>0.33666666666666667</v>
      </c>
      <c r="G15" s="18">
        <v>0.22</v>
      </c>
      <c r="H15" s="18">
        <v>0.27</v>
      </c>
      <c r="I15" s="18">
        <v>0.23</v>
      </c>
      <c r="J15" s="31"/>
      <c r="K15" s="3" t="s">
        <v>15</v>
      </c>
      <c r="L15" s="18">
        <v>0.27</v>
      </c>
      <c r="M15" s="18">
        <v>0.34</v>
      </c>
      <c r="N15" s="18">
        <v>0.28000000000000003</v>
      </c>
      <c r="O15" s="18">
        <v>0.27</v>
      </c>
      <c r="P15" s="33">
        <f t="shared" si="2"/>
        <v>0.29666666666666669</v>
      </c>
      <c r="Q15" s="18">
        <v>0.27</v>
      </c>
      <c r="R15" s="18">
        <v>0.33</v>
      </c>
      <c r="S15" s="18">
        <v>0.32</v>
      </c>
      <c r="U15" s="25" t="s">
        <v>52</v>
      </c>
      <c r="V15" s="69">
        <v>0.28899999999999998</v>
      </c>
      <c r="W15" s="48">
        <v>4.2999999999999997E-2</v>
      </c>
      <c r="X15" s="8">
        <v>1.2709999999999999</v>
      </c>
      <c r="Y15" s="8" t="s">
        <v>173</v>
      </c>
    </row>
    <row r="16" spans="1:35" ht="15" thickBot="1" x14ac:dyDescent="0.35">
      <c r="A16" s="3" t="s">
        <v>28</v>
      </c>
      <c r="B16" s="18">
        <v>0.27</v>
      </c>
      <c r="C16" s="18">
        <v>0.32</v>
      </c>
      <c r="D16" s="18">
        <v>0.26</v>
      </c>
      <c r="E16" s="18">
        <v>0.25</v>
      </c>
      <c r="F16" s="33">
        <f>AVERAGE(C16:E16)</f>
        <v>0.27666666666666667</v>
      </c>
      <c r="G16" s="18">
        <v>0.53</v>
      </c>
      <c r="H16" s="18">
        <v>0.38</v>
      </c>
      <c r="I16" s="18">
        <v>0.37</v>
      </c>
      <c r="J16" s="31"/>
      <c r="K16" s="3" t="s">
        <v>42</v>
      </c>
      <c r="L16" s="18">
        <v>0.28000000000000003</v>
      </c>
      <c r="M16" s="18">
        <v>0.49</v>
      </c>
      <c r="N16" s="18">
        <v>0.5</v>
      </c>
      <c r="O16" s="18">
        <v>0.49</v>
      </c>
      <c r="P16" s="33">
        <f t="shared" si="2"/>
        <v>0.49333333333333335</v>
      </c>
      <c r="Q16" s="18">
        <v>0.32</v>
      </c>
      <c r="R16" s="18">
        <v>0.33</v>
      </c>
      <c r="S16" s="18">
        <v>0.23</v>
      </c>
      <c r="U16" s="25" t="s">
        <v>54</v>
      </c>
      <c r="V16" s="69">
        <v>0.107</v>
      </c>
      <c r="W16" s="48">
        <v>0.09</v>
      </c>
      <c r="X16" s="8">
        <v>2.78</v>
      </c>
      <c r="Y16" s="8" t="s">
        <v>160</v>
      </c>
    </row>
    <row r="17" spans="1:25" ht="15" thickBot="1" x14ac:dyDescent="0.35">
      <c r="A17" s="4" t="s">
        <v>30</v>
      </c>
      <c r="B17" s="26">
        <f t="shared" ref="B17:I17" si="3">AVERAGE(B3:B16)</f>
        <v>0.26071428571428579</v>
      </c>
      <c r="C17" s="26">
        <f t="shared" si="3"/>
        <v>0.31857142857142862</v>
      </c>
      <c r="D17" s="26">
        <f t="shared" si="3"/>
        <v>0.30285714285714288</v>
      </c>
      <c r="E17" s="26">
        <f t="shared" si="3"/>
        <v>0.31285714285714283</v>
      </c>
      <c r="F17" s="26">
        <f t="shared" si="3"/>
        <v>0.31142857142857139</v>
      </c>
      <c r="G17" s="26">
        <f t="shared" si="3"/>
        <v>0.32357142857142857</v>
      </c>
      <c r="H17" s="26">
        <f t="shared" si="3"/>
        <v>0.31785714285714289</v>
      </c>
      <c r="I17" s="26">
        <f t="shared" si="3"/>
        <v>0.28142857142857147</v>
      </c>
      <c r="J17" s="32"/>
      <c r="K17" s="3" t="s">
        <v>18</v>
      </c>
      <c r="L17" s="18">
        <v>0.45</v>
      </c>
      <c r="M17" s="18">
        <v>0.28000000000000003</v>
      </c>
      <c r="N17" s="18">
        <v>0.27</v>
      </c>
      <c r="O17" s="18">
        <v>0.27</v>
      </c>
      <c r="P17" s="33">
        <f t="shared" si="2"/>
        <v>0.27333333333333337</v>
      </c>
      <c r="Q17" s="18">
        <v>0.28000000000000003</v>
      </c>
      <c r="R17" s="18">
        <v>0.25</v>
      </c>
      <c r="S17" s="18">
        <v>0.28000000000000003</v>
      </c>
      <c r="U17" s="25" t="s">
        <v>55</v>
      </c>
      <c r="V17" s="40">
        <v>0.54200000000000004</v>
      </c>
      <c r="W17" s="48">
        <v>2.1999999999999999E-2</v>
      </c>
      <c r="X17" s="8">
        <v>0.62</v>
      </c>
      <c r="Y17" s="8" t="s">
        <v>173</v>
      </c>
    </row>
    <row r="18" spans="1:25" ht="15" thickBot="1" x14ac:dyDescent="0.35">
      <c r="A18" s="5" t="s">
        <v>31</v>
      </c>
      <c r="B18" s="28">
        <f t="shared" ref="B18:H18" si="4">_xlfn.STDEV.S(B3:B16)</f>
        <v>4.393426658338289E-2</v>
      </c>
      <c r="C18" s="28">
        <f t="shared" si="4"/>
        <v>9.0456716624126632E-2</v>
      </c>
      <c r="D18" s="28">
        <f t="shared" si="4"/>
        <v>5.4832412007802291E-2</v>
      </c>
      <c r="E18" s="28">
        <f t="shared" si="4"/>
        <v>4.9213595905786126E-2</v>
      </c>
      <c r="F18" s="28">
        <f t="shared" si="4"/>
        <v>6.0548974113343125E-2</v>
      </c>
      <c r="G18" s="28">
        <f t="shared" si="4"/>
        <v>8.6345205457480326E-2</v>
      </c>
      <c r="H18" s="28">
        <f t="shared" si="4"/>
        <v>5.0410403600931332E-2</v>
      </c>
      <c r="I18" s="28">
        <f t="shared" ref="I18" si="5">_xlfn.STDEV.S(I3:I16)</f>
        <v>5.0054914898484057E-2</v>
      </c>
      <c r="J18" s="32"/>
      <c r="K18" s="3" t="s">
        <v>20</v>
      </c>
      <c r="L18" s="18">
        <v>0.25</v>
      </c>
      <c r="M18" s="18">
        <v>0.33</v>
      </c>
      <c r="N18" s="18">
        <v>0.36</v>
      </c>
      <c r="O18" s="18">
        <v>0.33</v>
      </c>
      <c r="P18" s="33">
        <f t="shared" si="2"/>
        <v>0.34</v>
      </c>
      <c r="Q18" s="18">
        <v>0.42</v>
      </c>
      <c r="R18" s="18">
        <v>0.3</v>
      </c>
      <c r="S18" s="18">
        <v>0.22</v>
      </c>
    </row>
    <row r="19" spans="1:25" x14ac:dyDescent="0.3">
      <c r="K19" s="4" t="s">
        <v>30</v>
      </c>
      <c r="L19" s="26">
        <f>AVERAGE(L3:L18)</f>
        <v>0.28187500000000004</v>
      </c>
      <c r="M19" s="26">
        <f t="shared" ref="M19:S19" si="6">AVERAGE(M3:M18)</f>
        <v>0.34937500000000005</v>
      </c>
      <c r="N19" s="26">
        <f t="shared" si="6"/>
        <v>0.34437500000000004</v>
      </c>
      <c r="O19" s="26">
        <f t="shared" si="6"/>
        <v>0.36625000000000008</v>
      </c>
      <c r="P19" s="26">
        <f t="shared" si="6"/>
        <v>0.35333333333333333</v>
      </c>
      <c r="Q19" s="26">
        <f t="shared" si="6"/>
        <v>0.3125</v>
      </c>
      <c r="R19" s="26">
        <f t="shared" si="6"/>
        <v>0.296875</v>
      </c>
      <c r="S19" s="26">
        <f t="shared" si="6"/>
        <v>0.27124999999999999</v>
      </c>
    </row>
    <row r="20" spans="1:25" x14ac:dyDescent="0.3">
      <c r="K20" s="5" t="s">
        <v>31</v>
      </c>
      <c r="L20" s="28">
        <f>_xlfn.STDEV.S(L3:L18)</f>
        <v>5.7528978205190665E-2</v>
      </c>
      <c r="M20" s="28">
        <f t="shared" ref="M20:S20" si="7">_xlfn.STDEV.S(M3:M18)</f>
        <v>7.8525473573866286E-2</v>
      </c>
      <c r="N20" s="28">
        <f t="shared" si="7"/>
        <v>7.999739579094628E-2</v>
      </c>
      <c r="O20" s="28">
        <f t="shared" si="7"/>
        <v>8.8459030064770502E-2</v>
      </c>
      <c r="P20" s="28">
        <f t="shared" si="7"/>
        <v>7.5090069373510065E-2</v>
      </c>
      <c r="Q20" s="28">
        <f t="shared" si="7"/>
        <v>7.0095173395415211E-2</v>
      </c>
      <c r="R20" s="28">
        <f t="shared" si="7"/>
        <v>4.5565886362497129E-2</v>
      </c>
      <c r="S20" s="28">
        <f t="shared" si="7"/>
        <v>4.1932485418030442E-2</v>
      </c>
    </row>
  </sheetData>
  <mergeCells count="4">
    <mergeCell ref="A1:I1"/>
    <mergeCell ref="K1:S1"/>
    <mergeCell ref="U1:Y1"/>
    <mergeCell ref="U13:Y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8956-40D9-40A1-8F72-BB3BA78CD0F5}">
  <dimension ref="A1:AN24"/>
  <sheetViews>
    <sheetView topLeftCell="L1" zoomScale="76" zoomScaleNormal="145" workbookViewId="0">
      <selection activeCell="H23" sqref="H23"/>
    </sheetView>
  </sheetViews>
  <sheetFormatPr baseColWidth="10" defaultColWidth="11.44140625" defaultRowHeight="14.4" x14ac:dyDescent="0.3"/>
  <cols>
    <col min="3" max="3" width="12.109375" bestFit="1" customWidth="1"/>
    <col min="4" max="5" width="12.44140625" bestFit="1" customWidth="1"/>
    <col min="6" max="6" width="12.21875" bestFit="1" customWidth="1"/>
    <col min="13" max="13" width="12.109375" bestFit="1" customWidth="1"/>
    <col min="14" max="15" width="12.44140625" bestFit="1" customWidth="1"/>
    <col min="16" max="16" width="12.21875" bestFit="1" customWidth="1"/>
    <col min="21" max="21" width="11.88671875" bestFit="1" customWidth="1"/>
    <col min="22" max="22" width="12.33203125" bestFit="1" customWidth="1"/>
    <col min="29" max="31" width="0" hidden="1" customWidth="1"/>
  </cols>
  <sheetData>
    <row r="1" spans="1:40" ht="15" customHeight="1" thickBot="1" x14ac:dyDescent="0.35">
      <c r="B1" s="96" t="s">
        <v>152</v>
      </c>
      <c r="C1" s="97"/>
      <c r="D1" s="97"/>
      <c r="E1" s="97"/>
      <c r="F1" s="97"/>
      <c r="G1" s="97"/>
      <c r="H1" s="97"/>
      <c r="I1" s="98"/>
      <c r="J1" s="31"/>
      <c r="L1" s="96" t="s">
        <v>153</v>
      </c>
      <c r="M1" s="97"/>
      <c r="N1" s="97"/>
      <c r="O1" s="97"/>
      <c r="P1" s="97"/>
      <c r="Q1" s="97"/>
      <c r="R1" s="97"/>
      <c r="S1" s="98"/>
      <c r="U1" s="93" t="s">
        <v>161</v>
      </c>
      <c r="V1" s="93"/>
      <c r="W1" s="93"/>
      <c r="X1" s="93"/>
      <c r="Y1" s="93"/>
      <c r="AB1" s="47" t="s">
        <v>46</v>
      </c>
      <c r="AC1" s="47" t="s">
        <v>80</v>
      </c>
      <c r="AD1" s="47" t="s">
        <v>81</v>
      </c>
      <c r="AE1" s="47" t="s">
        <v>82</v>
      </c>
      <c r="AF1" s="47" t="s">
        <v>83</v>
      </c>
      <c r="AG1" s="47" t="s">
        <v>48</v>
      </c>
      <c r="AH1" s="47" t="s">
        <v>49</v>
      </c>
      <c r="AI1" s="47" t="s">
        <v>50</v>
      </c>
      <c r="AL1" s="47" t="s">
        <v>77</v>
      </c>
      <c r="AM1" s="47" t="s">
        <v>78</v>
      </c>
      <c r="AN1" s="47" t="s">
        <v>79</v>
      </c>
    </row>
    <row r="2" spans="1:40" ht="15" thickBot="1" x14ac:dyDescent="0.35">
      <c r="A2" s="72"/>
      <c r="B2" s="72" t="s">
        <v>58</v>
      </c>
      <c r="C2" s="72" t="s">
        <v>80</v>
      </c>
      <c r="D2" s="72" t="s">
        <v>81</v>
      </c>
      <c r="E2" s="72" t="s">
        <v>82</v>
      </c>
      <c r="F2" s="72" t="s">
        <v>51</v>
      </c>
      <c r="G2" s="73" t="s">
        <v>48</v>
      </c>
      <c r="H2" s="73" t="s">
        <v>130</v>
      </c>
      <c r="I2" s="73" t="s">
        <v>131</v>
      </c>
      <c r="J2" s="31"/>
      <c r="K2" s="72"/>
      <c r="L2" s="72" t="s">
        <v>58</v>
      </c>
      <c r="M2" s="72" t="s">
        <v>80</v>
      </c>
      <c r="N2" s="72" t="s">
        <v>81</v>
      </c>
      <c r="O2" s="72" t="s">
        <v>82</v>
      </c>
      <c r="P2" s="72" t="s">
        <v>51</v>
      </c>
      <c r="Q2" s="73" t="s">
        <v>48</v>
      </c>
      <c r="R2" s="73" t="s">
        <v>130</v>
      </c>
      <c r="S2" s="73" t="s">
        <v>131</v>
      </c>
      <c r="U2" s="8"/>
      <c r="V2" s="73" t="s">
        <v>155</v>
      </c>
      <c r="W2" s="73" t="s">
        <v>156</v>
      </c>
      <c r="X2" s="3" t="s">
        <v>157</v>
      </c>
      <c r="Y2" s="3" t="s">
        <v>158</v>
      </c>
      <c r="AA2" s="8" t="s">
        <v>35</v>
      </c>
      <c r="AB2" s="24" cm="1">
        <f t="array" ref="AB2:AI2">B17:I17</f>
        <v>3.8035714285714297</v>
      </c>
      <c r="AC2" s="24">
        <v>4.157857142857142</v>
      </c>
      <c r="AD2" s="24">
        <v>4.0821428571428573</v>
      </c>
      <c r="AE2" s="24">
        <v>4.0342857142857138</v>
      </c>
      <c r="AF2" s="24">
        <v>4.0914285714285707</v>
      </c>
      <c r="AG2" s="24">
        <v>3.7771428571428571</v>
      </c>
      <c r="AH2" s="24">
        <v>3.8178571428571422</v>
      </c>
      <c r="AI2" s="24">
        <v>3.8814285714285712</v>
      </c>
      <c r="AK2" s="8" t="s">
        <v>35</v>
      </c>
      <c r="AL2" s="24" cm="1">
        <f t="array" ref="AL2:AN2">C17:E17</f>
        <v>4.157857142857142</v>
      </c>
      <c r="AM2" s="24">
        <v>4.0821428571428573</v>
      </c>
      <c r="AN2" s="24">
        <v>4.0342857142857138</v>
      </c>
    </row>
    <row r="3" spans="1:40" ht="15" thickBot="1" x14ac:dyDescent="0.35">
      <c r="A3" s="11" t="s">
        <v>22</v>
      </c>
      <c r="B3" s="18">
        <v>3.25</v>
      </c>
      <c r="C3" s="18">
        <v>3.38</v>
      </c>
      <c r="D3" s="18">
        <v>3.32</v>
      </c>
      <c r="E3" s="18">
        <v>3.04</v>
      </c>
      <c r="F3" s="33">
        <f>AVERAGE(C3:E3)</f>
        <v>3.2466666666666661</v>
      </c>
      <c r="G3" s="18">
        <v>2.81</v>
      </c>
      <c r="H3" s="18">
        <v>3.07</v>
      </c>
      <c r="I3" s="18">
        <v>3.75</v>
      </c>
      <c r="J3" s="31"/>
      <c r="K3" s="3" t="s">
        <v>8</v>
      </c>
      <c r="L3" s="18">
        <v>3.13</v>
      </c>
      <c r="M3" s="18">
        <v>4.9800000000000004</v>
      </c>
      <c r="N3" s="18">
        <v>5.23</v>
      </c>
      <c r="O3" s="18">
        <v>5.18</v>
      </c>
      <c r="P3" s="33">
        <f>AVERAGE(M3:O3)</f>
        <v>5.13</v>
      </c>
      <c r="Q3" s="18">
        <v>3.21</v>
      </c>
      <c r="R3" s="18">
        <v>3.3</v>
      </c>
      <c r="S3" s="18">
        <v>3.25</v>
      </c>
      <c r="U3" s="25" t="s">
        <v>52</v>
      </c>
      <c r="V3" s="38" t="s">
        <v>60</v>
      </c>
      <c r="W3" s="48">
        <v>0.438</v>
      </c>
      <c r="X3" s="8">
        <v>21.78</v>
      </c>
      <c r="Y3" s="8" t="s">
        <v>159</v>
      </c>
      <c r="AA3" s="8" t="s">
        <v>34</v>
      </c>
      <c r="AB3" s="24" cm="1">
        <f t="array" ref="AB3:AI3">L19:S19</f>
        <v>3.65</v>
      </c>
      <c r="AC3" s="24">
        <v>4.3781249999999989</v>
      </c>
      <c r="AD3" s="24">
        <v>4.2681250000000004</v>
      </c>
      <c r="AE3" s="24">
        <v>4.245333333333333</v>
      </c>
      <c r="AF3" s="24">
        <v>4.3016666666666667</v>
      </c>
      <c r="AG3" s="24">
        <v>3.7093750000000001</v>
      </c>
      <c r="AH3" s="24">
        <v>3.7318750000000005</v>
      </c>
      <c r="AI3" s="24">
        <v>3.6637499999999994</v>
      </c>
      <c r="AK3" s="8" t="s">
        <v>34</v>
      </c>
      <c r="AL3" s="24" cm="1">
        <f t="array" ref="AL3:AN3">M19:O19</f>
        <v>4.3781249999999989</v>
      </c>
      <c r="AM3" s="24">
        <v>4.2681250000000004</v>
      </c>
      <c r="AN3" s="24">
        <v>4.245333333333333</v>
      </c>
    </row>
    <row r="4" spans="1:40" ht="15" thickBot="1" x14ac:dyDescent="0.35">
      <c r="A4" s="11" t="s">
        <v>3</v>
      </c>
      <c r="B4" s="18">
        <v>5.46</v>
      </c>
      <c r="C4" s="18">
        <v>5.49</v>
      </c>
      <c r="D4" s="18">
        <v>5.19</v>
      </c>
      <c r="E4" s="18">
        <v>5.35</v>
      </c>
      <c r="F4" s="33">
        <f t="shared" ref="F4:F10" si="0">AVERAGE(C4:E4)</f>
        <v>5.3433333333333337</v>
      </c>
      <c r="G4" s="18">
        <v>5.4</v>
      </c>
      <c r="H4" s="18">
        <v>5.22</v>
      </c>
      <c r="I4" s="18">
        <v>5.37</v>
      </c>
      <c r="J4" s="31"/>
      <c r="K4" s="3" t="s">
        <v>12</v>
      </c>
      <c r="L4" s="18">
        <v>3.57</v>
      </c>
      <c r="M4" s="18">
        <v>4</v>
      </c>
      <c r="N4" s="18">
        <v>3.66</v>
      </c>
      <c r="O4" s="18">
        <v>3.41</v>
      </c>
      <c r="P4" s="33">
        <f t="shared" ref="P4:P15" si="1">AVERAGE(M4:O4)</f>
        <v>3.69</v>
      </c>
      <c r="Q4" s="18">
        <v>3.4</v>
      </c>
      <c r="R4" s="18">
        <v>3.29</v>
      </c>
      <c r="S4" s="18">
        <v>3.07</v>
      </c>
      <c r="U4" s="25" t="s">
        <v>54</v>
      </c>
      <c r="V4" s="69">
        <v>0.78900000000000003</v>
      </c>
      <c r="W4" s="48">
        <v>3.0000000000000001E-3</v>
      </c>
      <c r="X4" s="8">
        <v>7.0000000000000007E-2</v>
      </c>
      <c r="Y4" s="8" t="s">
        <v>160</v>
      </c>
      <c r="AA4" s="8" t="s">
        <v>56</v>
      </c>
      <c r="AB4" s="24" cm="1">
        <f t="array" ref="AB4:AI4">B18:I18</f>
        <v>0.67719565565938677</v>
      </c>
      <c r="AC4" s="24">
        <v>0.70973644698284211</v>
      </c>
      <c r="AD4" s="24">
        <v>0.63110621526416244</v>
      </c>
      <c r="AE4" s="24">
        <v>0.68212015956715155</v>
      </c>
      <c r="AF4" s="24">
        <v>0.66842423997859735</v>
      </c>
      <c r="AG4" s="24">
        <v>0.70492147485679679</v>
      </c>
      <c r="AH4" s="24">
        <v>0.65453657794514242</v>
      </c>
      <c r="AI4" s="24">
        <v>0.62125006909589064</v>
      </c>
      <c r="AK4" s="8" t="s">
        <v>56</v>
      </c>
      <c r="AL4" s="24" cm="1">
        <f t="array" ref="AL4:AN4">C18:E18</f>
        <v>0.70973644698284211</v>
      </c>
      <c r="AM4" s="24">
        <v>0.63110621526416244</v>
      </c>
      <c r="AN4" s="24">
        <v>0.68212015956715155</v>
      </c>
    </row>
    <row r="5" spans="1:40" ht="15" thickBot="1" x14ac:dyDescent="0.35">
      <c r="A5" s="11" t="s">
        <v>36</v>
      </c>
      <c r="B5" s="18">
        <v>3.62</v>
      </c>
      <c r="C5" s="18">
        <v>4.26</v>
      </c>
      <c r="D5" s="18">
        <v>4.09</v>
      </c>
      <c r="E5" s="18">
        <v>3.8</v>
      </c>
      <c r="F5" s="33">
        <f t="shared" si="0"/>
        <v>4.05</v>
      </c>
      <c r="G5" s="18">
        <v>4.13</v>
      </c>
      <c r="H5" s="18">
        <v>3.89</v>
      </c>
      <c r="I5" s="18">
        <v>3.72</v>
      </c>
      <c r="J5" s="31"/>
      <c r="K5" s="3" t="s">
        <v>4</v>
      </c>
      <c r="L5" s="18">
        <v>4.54</v>
      </c>
      <c r="M5" s="18">
        <v>4.8099999999999996</v>
      </c>
      <c r="N5" s="18">
        <v>4.78</v>
      </c>
      <c r="O5" s="18">
        <v>4.87</v>
      </c>
      <c r="P5" s="33">
        <f t="shared" si="1"/>
        <v>4.82</v>
      </c>
      <c r="Q5" s="18">
        <v>4.25</v>
      </c>
      <c r="R5" s="18">
        <v>4.3600000000000003</v>
      </c>
      <c r="S5" s="18">
        <v>4.45</v>
      </c>
      <c r="U5" s="25" t="s">
        <v>55</v>
      </c>
      <c r="V5" s="38">
        <v>1.4E-2</v>
      </c>
      <c r="W5" s="48">
        <v>0.11700000000000001</v>
      </c>
      <c r="X5" s="8">
        <v>3.7</v>
      </c>
      <c r="Y5" s="8" t="s">
        <v>159</v>
      </c>
      <c r="AA5" s="8" t="s">
        <v>57</v>
      </c>
      <c r="AB5" s="24" cm="1">
        <f t="array" ref="AB5:AI5">L20:S20</f>
        <v>0.65658713562380022</v>
      </c>
      <c r="AC5" s="24">
        <v>0.72901960421743239</v>
      </c>
      <c r="AD5" s="24">
        <v>0.75299596059120044</v>
      </c>
      <c r="AE5" s="24">
        <v>0.78227567908969298</v>
      </c>
      <c r="AF5" s="24">
        <v>0.74075837016058399</v>
      </c>
      <c r="AG5" s="24">
        <v>0.57929231251012914</v>
      </c>
      <c r="AH5" s="24">
        <v>0.68820751473180652</v>
      </c>
      <c r="AI5" s="24">
        <v>0.6840748009781803</v>
      </c>
      <c r="AK5" s="8" t="s">
        <v>57</v>
      </c>
      <c r="AL5" s="24" cm="1">
        <f t="array" ref="AL5:AN5">M20:O20</f>
        <v>0.72901960421743239</v>
      </c>
      <c r="AM5" s="24">
        <v>0.75299596059120044</v>
      </c>
      <c r="AN5" s="24">
        <v>0.78227567908969298</v>
      </c>
    </row>
    <row r="6" spans="1:40" ht="15" thickBot="1" x14ac:dyDescent="0.35">
      <c r="A6" s="11" t="s">
        <v>25</v>
      </c>
      <c r="B6" s="18">
        <v>3.17</v>
      </c>
      <c r="C6" s="18">
        <v>3.52</v>
      </c>
      <c r="D6" s="18">
        <v>3.64</v>
      </c>
      <c r="E6" s="18">
        <v>3.68</v>
      </c>
      <c r="F6" s="33">
        <f t="shared" si="0"/>
        <v>3.6133333333333333</v>
      </c>
      <c r="G6" s="18">
        <v>3.36</v>
      </c>
      <c r="H6" s="18">
        <v>3.23</v>
      </c>
      <c r="I6" s="18">
        <v>3.3</v>
      </c>
      <c r="J6" s="31"/>
      <c r="K6" s="3" t="s">
        <v>5</v>
      </c>
      <c r="L6" s="18">
        <v>3.38</v>
      </c>
      <c r="M6" s="18">
        <v>4.08</v>
      </c>
      <c r="N6" s="18">
        <v>3.89</v>
      </c>
      <c r="O6" s="18">
        <v>4</v>
      </c>
      <c r="P6" s="33">
        <f t="shared" si="1"/>
        <v>3.99</v>
      </c>
      <c r="Q6" s="18">
        <v>3.82</v>
      </c>
      <c r="R6" s="18">
        <v>3.63</v>
      </c>
      <c r="S6" s="18">
        <v>3.69</v>
      </c>
      <c r="U6" s="8"/>
      <c r="V6" s="8"/>
      <c r="W6" s="8"/>
      <c r="X6" s="8"/>
      <c r="Y6" s="8"/>
    </row>
    <row r="7" spans="1:40" ht="15" thickBot="1" x14ac:dyDescent="0.35">
      <c r="A7" s="11" t="s">
        <v>16</v>
      </c>
      <c r="B7" s="18">
        <v>3.28</v>
      </c>
      <c r="C7" s="18">
        <v>3.98</v>
      </c>
      <c r="D7" s="18">
        <v>3.92</v>
      </c>
      <c r="E7" s="18">
        <v>3.8</v>
      </c>
      <c r="F7" s="33">
        <f t="shared" si="0"/>
        <v>3.9</v>
      </c>
      <c r="G7" s="18">
        <v>3.87</v>
      </c>
      <c r="H7" s="18">
        <v>3.36</v>
      </c>
      <c r="I7" s="18">
        <v>3.65</v>
      </c>
      <c r="J7" s="31"/>
      <c r="K7" s="3" t="s">
        <v>39</v>
      </c>
      <c r="L7" s="18">
        <v>4.0599999999999996</v>
      </c>
      <c r="M7" s="18">
        <v>4.6100000000000003</v>
      </c>
      <c r="N7" s="18">
        <v>4.55</v>
      </c>
      <c r="O7" s="18">
        <v>4.55</v>
      </c>
      <c r="P7" s="33">
        <f t="shared" si="1"/>
        <v>4.57</v>
      </c>
      <c r="Q7" s="18">
        <v>4.2300000000000004</v>
      </c>
      <c r="R7" s="18">
        <v>4.5199999999999996</v>
      </c>
      <c r="S7" s="18">
        <v>4.22</v>
      </c>
      <c r="U7" s="8" t="s">
        <v>58</v>
      </c>
      <c r="V7" s="8" t="s">
        <v>59</v>
      </c>
      <c r="W7" s="38" t="s">
        <v>60</v>
      </c>
      <c r="X7" s="8"/>
      <c r="Y7" s="8"/>
    </row>
    <row r="8" spans="1:40" ht="15" thickBot="1" x14ac:dyDescent="0.35">
      <c r="A8" s="11" t="s">
        <v>26</v>
      </c>
      <c r="B8" s="18">
        <v>4.37</v>
      </c>
      <c r="C8" s="18">
        <v>4.38</v>
      </c>
      <c r="D8" s="18">
        <v>4.3499999999999996</v>
      </c>
      <c r="E8" s="18">
        <v>4.3600000000000003</v>
      </c>
      <c r="F8" s="33">
        <f t="shared" si="0"/>
        <v>4.3633333333333333</v>
      </c>
      <c r="G8" s="18">
        <v>4.43</v>
      </c>
      <c r="H8" s="18">
        <v>4.4400000000000004</v>
      </c>
      <c r="I8" s="18">
        <v>4.25</v>
      </c>
      <c r="J8" s="31"/>
      <c r="K8" s="3" t="s">
        <v>9</v>
      </c>
      <c r="L8" s="18">
        <v>4.54</v>
      </c>
      <c r="M8" s="18">
        <v>5.7</v>
      </c>
      <c r="N8" s="18">
        <v>5.46</v>
      </c>
      <c r="O8" s="18">
        <v>5.4</v>
      </c>
      <c r="P8" s="33">
        <f t="shared" si="1"/>
        <v>5.5200000000000005</v>
      </c>
      <c r="Q8" s="18">
        <v>4.29</v>
      </c>
      <c r="R8" s="18">
        <v>4.43</v>
      </c>
      <c r="S8" s="18">
        <v>4.41</v>
      </c>
      <c r="U8" s="8" t="s">
        <v>59</v>
      </c>
      <c r="V8" s="8" t="s">
        <v>48</v>
      </c>
      <c r="W8" s="38" t="s">
        <v>60</v>
      </c>
      <c r="X8" s="8"/>
      <c r="Y8" s="8"/>
    </row>
    <row r="9" spans="1:40" ht="15" thickBot="1" x14ac:dyDescent="0.35">
      <c r="A9" s="11" t="s">
        <v>19</v>
      </c>
      <c r="B9" s="18">
        <v>4.09</v>
      </c>
      <c r="C9" s="18">
        <v>4.75</v>
      </c>
      <c r="D9" s="18">
        <v>4.57</v>
      </c>
      <c r="E9" s="18">
        <v>4.51</v>
      </c>
      <c r="F9" s="33">
        <f t="shared" si="0"/>
        <v>4.6100000000000003</v>
      </c>
      <c r="G9" s="18">
        <v>3.54</v>
      </c>
      <c r="H9" s="18">
        <v>3.72</v>
      </c>
      <c r="I9" s="18">
        <v>3.63</v>
      </c>
      <c r="J9" s="31"/>
      <c r="K9" s="3" t="s">
        <v>7</v>
      </c>
      <c r="L9" s="18">
        <v>4.32</v>
      </c>
      <c r="M9" s="18">
        <v>4.79</v>
      </c>
      <c r="N9" s="18">
        <v>4.74</v>
      </c>
      <c r="O9" s="18">
        <v>4.7300000000000004</v>
      </c>
      <c r="P9" s="33">
        <f t="shared" si="1"/>
        <v>4.7533333333333339</v>
      </c>
      <c r="Q9" s="18">
        <v>4.24</v>
      </c>
      <c r="R9" s="18">
        <v>4.3600000000000003</v>
      </c>
      <c r="S9" s="18">
        <v>4.49</v>
      </c>
      <c r="U9" s="8" t="s">
        <v>59</v>
      </c>
      <c r="V9" s="8" t="s">
        <v>61</v>
      </c>
      <c r="W9" s="38" t="s">
        <v>60</v>
      </c>
      <c r="X9" s="8"/>
      <c r="Y9" s="8"/>
    </row>
    <row r="10" spans="1:40" ht="15" thickBot="1" x14ac:dyDescent="0.35">
      <c r="A10" s="11" t="s">
        <v>24</v>
      </c>
      <c r="B10" s="18">
        <v>3.9</v>
      </c>
      <c r="C10" s="18">
        <v>4.68</v>
      </c>
      <c r="D10" s="18">
        <v>4.34</v>
      </c>
      <c r="E10" s="18">
        <v>4.1399999999999997</v>
      </c>
      <c r="F10" s="33">
        <f t="shared" si="0"/>
        <v>4.3866666666666667</v>
      </c>
      <c r="G10" s="18">
        <v>3.72</v>
      </c>
      <c r="H10" s="18">
        <v>4.13</v>
      </c>
      <c r="I10" s="18">
        <v>4.07</v>
      </c>
      <c r="J10" s="31"/>
      <c r="K10" s="3" t="s">
        <v>14</v>
      </c>
      <c r="L10" s="18">
        <v>3.69</v>
      </c>
      <c r="M10" s="18">
        <v>3.97</v>
      </c>
      <c r="N10" s="18">
        <v>3.61</v>
      </c>
      <c r="O10" s="18">
        <v>3.61</v>
      </c>
      <c r="P10" s="33">
        <f t="shared" si="1"/>
        <v>3.73</v>
      </c>
      <c r="Q10" s="18">
        <v>3.24</v>
      </c>
      <c r="R10" s="18">
        <v>3.6</v>
      </c>
      <c r="S10" s="18">
        <v>3.26</v>
      </c>
      <c r="U10" s="8" t="s">
        <v>59</v>
      </c>
      <c r="V10" s="8" t="s">
        <v>62</v>
      </c>
      <c r="W10" s="38" t="s">
        <v>60</v>
      </c>
      <c r="X10" s="8"/>
      <c r="Y10" s="8"/>
    </row>
    <row r="11" spans="1:40" ht="15" thickBot="1" x14ac:dyDescent="0.35">
      <c r="A11" s="11" t="s">
        <v>21</v>
      </c>
      <c r="B11" s="18">
        <v>2.52</v>
      </c>
      <c r="C11" s="18">
        <v>2.62</v>
      </c>
      <c r="D11" s="18">
        <v>2.66</v>
      </c>
      <c r="E11" s="18">
        <v>2.65</v>
      </c>
      <c r="F11" s="33">
        <f t="shared" ref="F11" si="2">AVERAGE(C11:E11)</f>
        <v>2.6433333333333331</v>
      </c>
      <c r="G11" s="18">
        <v>2.5299999999999998</v>
      </c>
      <c r="H11" s="30">
        <f>AVERAGE(G11,I11)</f>
        <v>2.57</v>
      </c>
      <c r="I11" s="18">
        <v>2.61</v>
      </c>
      <c r="J11" s="31"/>
      <c r="K11" s="3" t="s">
        <v>11</v>
      </c>
      <c r="L11" s="18">
        <v>3.04</v>
      </c>
      <c r="M11" s="18">
        <v>3.43</v>
      </c>
      <c r="N11" s="18">
        <v>3.3</v>
      </c>
      <c r="O11" s="18">
        <v>3.3</v>
      </c>
      <c r="P11" s="33">
        <f t="shared" si="1"/>
        <v>3.3433333333333337</v>
      </c>
      <c r="Q11" s="18">
        <v>3.02</v>
      </c>
      <c r="R11" s="18">
        <v>3.18</v>
      </c>
      <c r="S11" s="18">
        <v>3</v>
      </c>
      <c r="U11" s="8"/>
      <c r="V11" s="8"/>
      <c r="W11" s="8"/>
      <c r="X11" s="8"/>
      <c r="Y11" s="8"/>
    </row>
    <row r="12" spans="1:40" ht="15" thickBot="1" x14ac:dyDescent="0.35">
      <c r="A12" s="11" t="s">
        <v>6</v>
      </c>
      <c r="B12" s="18">
        <v>3.85</v>
      </c>
      <c r="C12" s="18">
        <v>4.07</v>
      </c>
      <c r="D12" s="18">
        <v>4.1399999999999997</v>
      </c>
      <c r="E12" s="18">
        <v>4.17</v>
      </c>
      <c r="F12" s="33">
        <f>AVERAGE(C12:E12)</f>
        <v>4.1266666666666669</v>
      </c>
      <c r="G12" s="18">
        <v>3.33</v>
      </c>
      <c r="H12" s="18">
        <v>4.17</v>
      </c>
      <c r="I12" s="18">
        <v>4.08</v>
      </c>
      <c r="J12" s="31"/>
      <c r="K12" s="3" t="s">
        <v>10</v>
      </c>
      <c r="L12" s="18">
        <v>2.63</v>
      </c>
      <c r="M12" s="18">
        <v>3.48</v>
      </c>
      <c r="N12" s="18">
        <v>3.43</v>
      </c>
      <c r="O12" s="18">
        <v>3.46</v>
      </c>
      <c r="P12" s="33">
        <f t="shared" si="1"/>
        <v>3.456666666666667</v>
      </c>
      <c r="Q12" s="18">
        <v>2.86</v>
      </c>
      <c r="R12" s="18">
        <v>2.5299999999999998</v>
      </c>
      <c r="S12" s="18">
        <v>2.5499999999999998</v>
      </c>
      <c r="U12" s="69" t="s">
        <v>91</v>
      </c>
      <c r="V12" s="69" t="s">
        <v>66</v>
      </c>
      <c r="W12" s="38" t="s">
        <v>60</v>
      </c>
      <c r="X12" s="8"/>
      <c r="Y12" s="8"/>
    </row>
    <row r="13" spans="1:40" ht="15" thickBot="1" x14ac:dyDescent="0.35">
      <c r="A13" s="11" t="s">
        <v>29</v>
      </c>
      <c r="B13" s="18">
        <v>3.84</v>
      </c>
      <c r="C13" s="18">
        <v>3.92</v>
      </c>
      <c r="D13" s="18">
        <v>3.87</v>
      </c>
      <c r="E13" s="18">
        <v>3.86</v>
      </c>
      <c r="F13" s="33">
        <f>AVERAGE(C13:E13)</f>
        <v>3.8833333333333333</v>
      </c>
      <c r="G13" s="18">
        <v>3.77</v>
      </c>
      <c r="H13" s="18">
        <v>3.9</v>
      </c>
      <c r="I13" s="18">
        <v>3.63</v>
      </c>
      <c r="J13" s="31"/>
      <c r="K13" s="3" t="s">
        <v>17</v>
      </c>
      <c r="L13" s="18">
        <v>4.76</v>
      </c>
      <c r="M13" s="18">
        <v>5.58</v>
      </c>
      <c r="N13" s="18">
        <v>5.56</v>
      </c>
      <c r="O13" s="18">
        <v>5.5</v>
      </c>
      <c r="P13" s="33">
        <f t="shared" si="1"/>
        <v>5.5466666666666669</v>
      </c>
      <c r="Q13" s="18">
        <v>4.49</v>
      </c>
      <c r="R13" s="18">
        <v>5.13</v>
      </c>
      <c r="S13" s="18">
        <v>4.76</v>
      </c>
      <c r="U13" s="69" t="s">
        <v>66</v>
      </c>
      <c r="V13" s="69" t="s">
        <v>69</v>
      </c>
      <c r="W13" s="38" t="s">
        <v>60</v>
      </c>
      <c r="X13" s="8"/>
      <c r="Y13" s="8"/>
    </row>
    <row r="14" spans="1:40" ht="15" thickBot="1" x14ac:dyDescent="0.35">
      <c r="A14" s="11" t="s">
        <v>27</v>
      </c>
      <c r="B14" s="18">
        <v>4.04</v>
      </c>
      <c r="C14" s="18">
        <v>4.87</v>
      </c>
      <c r="D14" s="18">
        <v>4.8899999999999997</v>
      </c>
      <c r="E14" s="18">
        <v>4.9000000000000004</v>
      </c>
      <c r="F14" s="33">
        <f>AVERAGE(C14:E14)</f>
        <v>4.8866666666666667</v>
      </c>
      <c r="G14" s="18">
        <v>4.3600000000000003</v>
      </c>
      <c r="H14" s="18">
        <v>4.33</v>
      </c>
      <c r="I14" s="18">
        <v>4.5199999999999996</v>
      </c>
      <c r="J14" s="31"/>
      <c r="K14" s="3" t="s">
        <v>13</v>
      </c>
      <c r="L14" s="18">
        <v>3.11</v>
      </c>
      <c r="M14" s="18">
        <v>4.24</v>
      </c>
      <c r="N14" s="18">
        <v>4.0999999999999996</v>
      </c>
      <c r="O14" s="18">
        <v>4.08</v>
      </c>
      <c r="P14" s="33">
        <f t="shared" si="1"/>
        <v>4.1399999999999997</v>
      </c>
      <c r="Q14" s="18">
        <v>3.64</v>
      </c>
      <c r="R14" s="18">
        <v>3.58</v>
      </c>
      <c r="S14" s="18">
        <v>3.61</v>
      </c>
      <c r="U14" s="69" t="s">
        <v>66</v>
      </c>
      <c r="V14" s="69" t="s">
        <v>92</v>
      </c>
      <c r="W14" s="38" t="s">
        <v>60</v>
      </c>
      <c r="X14" s="8"/>
      <c r="Y14" s="8"/>
    </row>
    <row r="15" spans="1:40" ht="15" thickBot="1" x14ac:dyDescent="0.35">
      <c r="A15" s="11" t="s">
        <v>23</v>
      </c>
      <c r="B15" s="18">
        <v>3.77</v>
      </c>
      <c r="C15" s="18">
        <v>4.38</v>
      </c>
      <c r="D15" s="18">
        <v>4.24</v>
      </c>
      <c r="E15" s="18">
        <v>4.22</v>
      </c>
      <c r="F15" s="33">
        <f>AVERAGE(C15:E15)</f>
        <v>4.28</v>
      </c>
      <c r="G15" s="18">
        <v>3.81</v>
      </c>
      <c r="H15" s="18">
        <v>3.8</v>
      </c>
      <c r="I15" s="18">
        <v>3.93</v>
      </c>
      <c r="J15" s="31"/>
      <c r="K15" s="3" t="s">
        <v>15</v>
      </c>
      <c r="L15" s="18">
        <v>4.05</v>
      </c>
      <c r="M15" s="18">
        <v>4.72</v>
      </c>
      <c r="N15" s="18">
        <v>4.68</v>
      </c>
      <c r="O15" s="18">
        <v>4.6399999999999997</v>
      </c>
      <c r="P15" s="33">
        <f t="shared" si="1"/>
        <v>4.68</v>
      </c>
      <c r="Q15" s="18">
        <v>4.46</v>
      </c>
      <c r="R15" s="18">
        <v>4.07</v>
      </c>
      <c r="S15" s="18">
        <v>4.33</v>
      </c>
      <c r="U15" s="69" t="s">
        <v>66</v>
      </c>
      <c r="V15" s="69" t="s">
        <v>93</v>
      </c>
      <c r="W15" s="38" t="s">
        <v>60</v>
      </c>
      <c r="X15" s="8"/>
      <c r="Y15" s="8"/>
    </row>
    <row r="16" spans="1:40" ht="15" thickBot="1" x14ac:dyDescent="0.35">
      <c r="A16" s="11" t="s">
        <v>28</v>
      </c>
      <c r="B16" s="18">
        <v>4.09</v>
      </c>
      <c r="C16" s="18">
        <v>3.91</v>
      </c>
      <c r="D16" s="18">
        <v>3.93</v>
      </c>
      <c r="E16" s="18">
        <v>4</v>
      </c>
      <c r="F16" s="33">
        <f>AVERAGE(C16:E16)</f>
        <v>3.9466666666666668</v>
      </c>
      <c r="G16" s="18">
        <v>3.82</v>
      </c>
      <c r="H16" s="18">
        <v>3.62</v>
      </c>
      <c r="I16" s="18">
        <v>3.83</v>
      </c>
      <c r="J16" s="31"/>
      <c r="K16" s="3" t="s">
        <v>42</v>
      </c>
      <c r="L16" s="18">
        <v>3.5</v>
      </c>
      <c r="M16" s="18">
        <v>4.7</v>
      </c>
      <c r="N16" s="18">
        <v>4.22</v>
      </c>
      <c r="O16" s="30"/>
      <c r="P16" s="33">
        <f t="shared" ref="P16" si="3">AVERAGE(M16:O16)</f>
        <v>4.46</v>
      </c>
      <c r="Q16" s="18">
        <v>3.87</v>
      </c>
      <c r="R16" s="18">
        <v>3.57</v>
      </c>
      <c r="S16" s="18">
        <v>3.31</v>
      </c>
    </row>
    <row r="17" spans="1:25" ht="15" thickBot="1" x14ac:dyDescent="0.35">
      <c r="A17" s="4" t="s">
        <v>30</v>
      </c>
      <c r="B17" s="26">
        <f>AVERAGE(B3:B16)</f>
        <v>3.8035714285714297</v>
      </c>
      <c r="C17" s="26">
        <f t="shared" ref="C17:I17" si="4">AVERAGE(C3:C16)</f>
        <v>4.157857142857142</v>
      </c>
      <c r="D17" s="26">
        <f t="shared" si="4"/>
        <v>4.0821428571428573</v>
      </c>
      <c r="E17" s="26">
        <f t="shared" si="4"/>
        <v>4.0342857142857138</v>
      </c>
      <c r="F17" s="26">
        <f t="shared" si="4"/>
        <v>4.0914285714285707</v>
      </c>
      <c r="G17" s="26">
        <f t="shared" si="4"/>
        <v>3.7771428571428571</v>
      </c>
      <c r="H17" s="26">
        <f t="shared" si="4"/>
        <v>3.8178571428571422</v>
      </c>
      <c r="I17" s="26">
        <f t="shared" si="4"/>
        <v>3.8814285714285712</v>
      </c>
      <c r="J17" s="32"/>
      <c r="K17" s="3" t="s">
        <v>18</v>
      </c>
      <c r="L17" s="18">
        <v>3.2</v>
      </c>
      <c r="M17" s="18">
        <v>3.64</v>
      </c>
      <c r="N17" s="18">
        <v>3.74</v>
      </c>
      <c r="O17" s="18">
        <v>3.59</v>
      </c>
      <c r="P17" s="33">
        <f>AVERAGE(M17:O17)</f>
        <v>3.6566666666666667</v>
      </c>
      <c r="Q17" s="18">
        <v>3.54</v>
      </c>
      <c r="R17" s="18">
        <v>3.28</v>
      </c>
      <c r="S17" s="18">
        <v>3.33</v>
      </c>
    </row>
    <row r="18" spans="1:25" ht="15" thickBot="1" x14ac:dyDescent="0.35">
      <c r="A18" s="5" t="s">
        <v>31</v>
      </c>
      <c r="B18" s="28">
        <f>_xlfn.STDEV.S(B3:B16)</f>
        <v>0.67719565565938677</v>
      </c>
      <c r="C18" s="28">
        <f t="shared" ref="C18:I18" si="5">_xlfn.STDEV.S(C3:C16)</f>
        <v>0.70973644698284211</v>
      </c>
      <c r="D18" s="28">
        <f t="shared" si="5"/>
        <v>0.63110621526416244</v>
      </c>
      <c r="E18" s="28">
        <f t="shared" si="5"/>
        <v>0.68212015956715155</v>
      </c>
      <c r="F18" s="28">
        <f t="shared" si="5"/>
        <v>0.66842423997859735</v>
      </c>
      <c r="G18" s="28">
        <f t="shared" si="5"/>
        <v>0.70492147485679679</v>
      </c>
      <c r="H18" s="28">
        <f t="shared" si="5"/>
        <v>0.65453657794514242</v>
      </c>
      <c r="I18" s="28">
        <f t="shared" si="5"/>
        <v>0.62125006909589064</v>
      </c>
      <c r="J18" s="32"/>
      <c r="K18" s="3" t="s">
        <v>20</v>
      </c>
      <c r="L18" s="18">
        <v>2.88</v>
      </c>
      <c r="M18" s="18">
        <v>3.32</v>
      </c>
      <c r="N18" s="18">
        <v>3.34</v>
      </c>
      <c r="O18" s="18">
        <v>3.36</v>
      </c>
      <c r="P18" s="33">
        <f>AVERAGE(M18:O18)</f>
        <v>3.34</v>
      </c>
      <c r="Q18" s="18">
        <v>2.79</v>
      </c>
      <c r="R18" s="18">
        <v>2.88</v>
      </c>
      <c r="S18" s="18">
        <v>2.89</v>
      </c>
    </row>
    <row r="19" spans="1:25" x14ac:dyDescent="0.3">
      <c r="K19" s="4" t="s">
        <v>30</v>
      </c>
      <c r="L19" s="26">
        <f>AVERAGE(L3:L18)</f>
        <v>3.65</v>
      </c>
      <c r="M19" s="26">
        <f t="shared" ref="M19:S19" si="6">AVERAGE(M3:M18)</f>
        <v>4.3781249999999989</v>
      </c>
      <c r="N19" s="26">
        <f t="shared" si="6"/>
        <v>4.2681250000000004</v>
      </c>
      <c r="O19" s="26">
        <f t="shared" si="6"/>
        <v>4.245333333333333</v>
      </c>
      <c r="P19" s="26">
        <f t="shared" si="6"/>
        <v>4.3016666666666667</v>
      </c>
      <c r="Q19" s="26">
        <f t="shared" si="6"/>
        <v>3.7093750000000001</v>
      </c>
      <c r="R19" s="26">
        <f t="shared" si="6"/>
        <v>3.7318750000000005</v>
      </c>
      <c r="S19" s="26">
        <f t="shared" si="6"/>
        <v>3.6637499999999994</v>
      </c>
    </row>
    <row r="20" spans="1:25" x14ac:dyDescent="0.3">
      <c r="K20" s="5" t="s">
        <v>31</v>
      </c>
      <c r="L20" s="28">
        <f>_xlfn.STDEV.S(L3:L18)</f>
        <v>0.65658713562380022</v>
      </c>
      <c r="M20" s="28">
        <f t="shared" ref="M20:S20" si="7">_xlfn.STDEV.S(M3:M18)</f>
        <v>0.72901960421743239</v>
      </c>
      <c r="N20" s="28">
        <f t="shared" si="7"/>
        <v>0.75299596059120044</v>
      </c>
      <c r="O20" s="28">
        <f t="shared" si="7"/>
        <v>0.78227567908969298</v>
      </c>
      <c r="P20" s="28">
        <f t="shared" si="7"/>
        <v>0.74075837016058399</v>
      </c>
      <c r="Q20" s="28">
        <f t="shared" si="7"/>
        <v>0.57929231251012914</v>
      </c>
      <c r="R20" s="28">
        <f t="shared" si="7"/>
        <v>0.68820751473180652</v>
      </c>
      <c r="S20" s="28">
        <f t="shared" si="7"/>
        <v>0.6840748009781803</v>
      </c>
      <c r="U20" s="93" t="s">
        <v>162</v>
      </c>
      <c r="V20" s="93"/>
      <c r="W20" s="93"/>
      <c r="X20" s="93"/>
      <c r="Y20" s="93"/>
    </row>
    <row r="21" spans="1:25" x14ac:dyDescent="0.3">
      <c r="U21" s="8"/>
      <c r="V21" s="73" t="s">
        <v>155</v>
      </c>
      <c r="W21" s="73" t="s">
        <v>156</v>
      </c>
      <c r="X21" s="3" t="s">
        <v>157</v>
      </c>
      <c r="Y21" s="3" t="s">
        <v>158</v>
      </c>
    </row>
    <row r="22" spans="1:25" x14ac:dyDescent="0.3">
      <c r="U22" s="25" t="s">
        <v>52</v>
      </c>
      <c r="V22" s="38">
        <v>3.0000000000000001E-3</v>
      </c>
      <c r="W22" s="48">
        <v>0.23799999999999999</v>
      </c>
      <c r="X22" s="8">
        <v>8.43</v>
      </c>
      <c r="Y22" s="8" t="s">
        <v>163</v>
      </c>
    </row>
    <row r="23" spans="1:25" x14ac:dyDescent="0.3">
      <c r="U23" s="25" t="s">
        <v>54</v>
      </c>
      <c r="V23" s="69">
        <v>0.46200000000000002</v>
      </c>
      <c r="W23" s="48">
        <v>0.02</v>
      </c>
      <c r="X23" s="8">
        <v>0.56000000000000005</v>
      </c>
      <c r="Y23" s="8" t="s">
        <v>164</v>
      </c>
    </row>
    <row r="24" spans="1:25" x14ac:dyDescent="0.3">
      <c r="C24" s="99"/>
      <c r="D24" s="99"/>
      <c r="E24" s="99"/>
      <c r="F24" s="99"/>
      <c r="G24" s="99"/>
      <c r="H24" s="99"/>
      <c r="U24" s="25" t="s">
        <v>55</v>
      </c>
      <c r="V24" s="69">
        <v>0.86799999999999999</v>
      </c>
      <c r="W24" s="48">
        <v>3.0000000000000001E-3</v>
      </c>
      <c r="X24" s="8">
        <v>7.0000000000000007E-2</v>
      </c>
      <c r="Y24" s="8" t="s">
        <v>163</v>
      </c>
    </row>
  </sheetData>
  <mergeCells count="6">
    <mergeCell ref="B1:I1"/>
    <mergeCell ref="L1:S1"/>
    <mergeCell ref="C24:E24"/>
    <mergeCell ref="F24:H24"/>
    <mergeCell ref="U1:Y1"/>
    <mergeCell ref="U20:Y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3315-15FE-4395-98BD-C53370C065F8}">
  <dimension ref="A1:AT31"/>
  <sheetViews>
    <sheetView topLeftCell="L1" zoomScale="85" zoomScaleNormal="85" workbookViewId="0">
      <selection activeCell="V27" sqref="V27"/>
    </sheetView>
  </sheetViews>
  <sheetFormatPr baseColWidth="10" defaultColWidth="11.44140625" defaultRowHeight="14.4" x14ac:dyDescent="0.3"/>
  <cols>
    <col min="36" max="36" width="13.88671875" customWidth="1"/>
    <col min="37" max="37" width="15.109375" customWidth="1"/>
    <col min="42" max="42" width="13.88671875" customWidth="1"/>
    <col min="43" max="43" width="15.109375" customWidth="1"/>
  </cols>
  <sheetData>
    <row r="1" spans="1:46" ht="15" thickBot="1" x14ac:dyDescent="0.35">
      <c r="A1" s="57"/>
      <c r="B1" s="57"/>
      <c r="C1" s="87" t="s">
        <v>94</v>
      </c>
      <c r="D1" s="88"/>
      <c r="E1" s="88"/>
      <c r="F1" s="89"/>
      <c r="G1" s="90" t="s">
        <v>95</v>
      </c>
      <c r="H1" s="91"/>
      <c r="I1" s="91"/>
      <c r="J1" s="92"/>
      <c r="L1" s="80" t="s">
        <v>94</v>
      </c>
      <c r="M1" s="81"/>
      <c r="N1" s="81"/>
      <c r="O1" s="81"/>
      <c r="P1" s="81"/>
      <c r="Q1" s="81"/>
      <c r="R1" s="81"/>
      <c r="S1" s="81"/>
      <c r="T1" s="81"/>
      <c r="U1" s="81"/>
      <c r="V1" s="82"/>
      <c r="X1" s="80" t="s">
        <v>96</v>
      </c>
      <c r="Y1" s="81"/>
      <c r="Z1" s="81"/>
      <c r="AA1" s="81"/>
      <c r="AB1" s="81"/>
      <c r="AC1" s="81"/>
      <c r="AD1" s="81"/>
      <c r="AE1" s="81"/>
      <c r="AF1" s="81"/>
      <c r="AG1" s="81"/>
      <c r="AH1" s="82"/>
      <c r="AJ1" s="84" t="s">
        <v>97</v>
      </c>
      <c r="AK1" s="85"/>
      <c r="AL1" s="85"/>
      <c r="AM1" s="85"/>
      <c r="AN1" s="86"/>
      <c r="AP1" s="84" t="s">
        <v>96</v>
      </c>
      <c r="AQ1" s="85"/>
      <c r="AR1" s="85"/>
      <c r="AS1" s="85"/>
      <c r="AT1" s="86"/>
    </row>
    <row r="2" spans="1:46" ht="15" thickBot="1" x14ac:dyDescent="0.35">
      <c r="A2" s="57"/>
      <c r="B2" s="57"/>
      <c r="C2" s="19" t="s">
        <v>58</v>
      </c>
      <c r="D2" s="19" t="s">
        <v>48</v>
      </c>
      <c r="E2" s="19" t="s">
        <v>130</v>
      </c>
      <c r="F2" s="19" t="s">
        <v>131</v>
      </c>
      <c r="G2" s="19" t="s">
        <v>58</v>
      </c>
      <c r="H2" s="19" t="s">
        <v>48</v>
      </c>
      <c r="I2" s="19" t="s">
        <v>130</v>
      </c>
      <c r="J2" s="19" t="s">
        <v>131</v>
      </c>
      <c r="L2" s="67"/>
      <c r="M2" s="83" t="s">
        <v>35</v>
      </c>
      <c r="N2" s="83"/>
      <c r="O2" s="83"/>
      <c r="P2" s="83"/>
      <c r="Q2" s="66"/>
      <c r="R2" s="67"/>
      <c r="S2" s="83" t="s">
        <v>34</v>
      </c>
      <c r="T2" s="83"/>
      <c r="U2" s="83"/>
      <c r="V2" s="83"/>
      <c r="X2" s="67"/>
      <c r="Y2" s="83" t="s">
        <v>35</v>
      </c>
      <c r="Z2" s="83"/>
      <c r="AA2" s="83"/>
      <c r="AB2" s="83"/>
      <c r="AC2" s="66"/>
      <c r="AD2" s="67"/>
      <c r="AE2" s="83" t="s">
        <v>34</v>
      </c>
      <c r="AF2" s="83"/>
      <c r="AG2" s="83"/>
      <c r="AH2" s="83"/>
      <c r="AJ2" s="8"/>
      <c r="AK2" s="73" t="s">
        <v>155</v>
      </c>
      <c r="AL2" s="73" t="s">
        <v>156</v>
      </c>
      <c r="AM2" s="3" t="s">
        <v>157</v>
      </c>
      <c r="AN2" s="3" t="s">
        <v>158</v>
      </c>
      <c r="AO2" s="56"/>
      <c r="AP2" s="8"/>
      <c r="AQ2" s="73" t="s">
        <v>155</v>
      </c>
      <c r="AR2" s="73" t="s">
        <v>156</v>
      </c>
      <c r="AS2" s="3" t="s">
        <v>157</v>
      </c>
      <c r="AT2" s="3" t="s">
        <v>158</v>
      </c>
    </row>
    <row r="3" spans="1:46" ht="15" thickBot="1" x14ac:dyDescent="0.35">
      <c r="A3" s="59" t="s">
        <v>98</v>
      </c>
      <c r="B3" s="60" t="s">
        <v>8</v>
      </c>
      <c r="C3" s="61">
        <v>2.1</v>
      </c>
      <c r="D3" s="62">
        <v>3.7</v>
      </c>
      <c r="E3" s="61">
        <v>5.0999999999999996</v>
      </c>
      <c r="F3" s="62">
        <v>5</v>
      </c>
      <c r="G3" s="61">
        <v>62.4</v>
      </c>
      <c r="H3" s="62">
        <v>67.8</v>
      </c>
      <c r="I3" s="61">
        <v>128.9</v>
      </c>
      <c r="J3" s="62">
        <v>120.7</v>
      </c>
      <c r="L3" s="30"/>
      <c r="M3" s="58" t="s">
        <v>46</v>
      </c>
      <c r="N3" s="58" t="s">
        <v>48</v>
      </c>
      <c r="O3" s="58" t="s">
        <v>49</v>
      </c>
      <c r="P3" s="58" t="s">
        <v>50</v>
      </c>
      <c r="Q3" s="31"/>
      <c r="R3" s="30"/>
      <c r="S3" s="58" t="s">
        <v>46</v>
      </c>
      <c r="T3" s="58" t="s">
        <v>48</v>
      </c>
      <c r="U3" s="58" t="s">
        <v>49</v>
      </c>
      <c r="V3" s="58" t="s">
        <v>50</v>
      </c>
      <c r="X3" s="30"/>
      <c r="Y3" s="58" t="s">
        <v>46</v>
      </c>
      <c r="Z3" s="58" t="s">
        <v>48</v>
      </c>
      <c r="AA3" s="58" t="s">
        <v>49</v>
      </c>
      <c r="AB3" s="58" t="s">
        <v>50</v>
      </c>
      <c r="AC3" s="31"/>
      <c r="AD3" s="30"/>
      <c r="AE3" s="58" t="s">
        <v>46</v>
      </c>
      <c r="AF3" s="58" t="s">
        <v>48</v>
      </c>
      <c r="AG3" s="58" t="s">
        <v>49</v>
      </c>
      <c r="AH3" s="58" t="s">
        <v>50</v>
      </c>
      <c r="AJ3" s="25" t="s">
        <v>52</v>
      </c>
      <c r="AK3" s="38" t="s">
        <v>60</v>
      </c>
      <c r="AL3" s="48">
        <v>0.85499999999999998</v>
      </c>
      <c r="AM3" s="48">
        <v>159</v>
      </c>
      <c r="AN3" s="48" t="s">
        <v>165</v>
      </c>
      <c r="AO3" s="68"/>
      <c r="AP3" s="25" t="s">
        <v>52</v>
      </c>
      <c r="AQ3" s="38" t="s">
        <v>60</v>
      </c>
      <c r="AR3" s="48">
        <v>0.90900000000000003</v>
      </c>
      <c r="AS3" s="8">
        <v>269</v>
      </c>
      <c r="AT3" s="8" t="s">
        <v>166</v>
      </c>
    </row>
    <row r="4" spans="1:46" ht="15" thickBot="1" x14ac:dyDescent="0.35">
      <c r="A4" s="59" t="s">
        <v>99</v>
      </c>
      <c r="B4" s="60" t="s">
        <v>12</v>
      </c>
      <c r="C4" s="63">
        <v>1.8</v>
      </c>
      <c r="D4" s="63">
        <v>3.1</v>
      </c>
      <c r="E4" s="63">
        <v>5.7</v>
      </c>
      <c r="F4" s="63">
        <v>5.0999999999999996</v>
      </c>
      <c r="G4" s="63">
        <v>63.8</v>
      </c>
      <c r="H4" s="63">
        <v>69.8</v>
      </c>
      <c r="I4" s="63">
        <v>118.7</v>
      </c>
      <c r="J4" s="63">
        <v>118.4</v>
      </c>
      <c r="L4" s="60" t="s">
        <v>22</v>
      </c>
      <c r="M4" s="61">
        <v>1.7</v>
      </c>
      <c r="N4" s="61">
        <v>1.2</v>
      </c>
      <c r="O4" s="63">
        <v>1.9</v>
      </c>
      <c r="P4" s="63">
        <v>2</v>
      </c>
      <c r="Q4" s="31"/>
      <c r="R4" s="60" t="s">
        <v>8</v>
      </c>
      <c r="S4" s="61">
        <v>2.1</v>
      </c>
      <c r="T4" s="62">
        <v>3.7</v>
      </c>
      <c r="U4" s="61">
        <v>5.0999999999999996</v>
      </c>
      <c r="V4" s="62">
        <v>5</v>
      </c>
      <c r="X4" s="60" t="s">
        <v>22</v>
      </c>
      <c r="Y4" s="61">
        <v>59.7</v>
      </c>
      <c r="Z4" s="61">
        <v>63.7</v>
      </c>
      <c r="AA4" s="63">
        <v>87.4</v>
      </c>
      <c r="AB4" s="63">
        <v>90.4</v>
      </c>
      <c r="AC4" s="31"/>
      <c r="AD4" s="60" t="s">
        <v>8</v>
      </c>
      <c r="AE4" s="61">
        <v>62.4</v>
      </c>
      <c r="AF4" s="62">
        <v>67.8</v>
      </c>
      <c r="AG4" s="61">
        <v>128.9</v>
      </c>
      <c r="AH4" s="62">
        <v>120.7</v>
      </c>
      <c r="AJ4" s="25" t="s">
        <v>54</v>
      </c>
      <c r="AK4" s="38" t="s">
        <v>60</v>
      </c>
      <c r="AL4" s="48">
        <v>0.66200000000000003</v>
      </c>
      <c r="AM4" s="48">
        <v>53</v>
      </c>
      <c r="AN4" s="48" t="s">
        <v>164</v>
      </c>
      <c r="AO4" s="68"/>
      <c r="AP4" s="25" t="s">
        <v>54</v>
      </c>
      <c r="AQ4" s="38" t="s">
        <v>60</v>
      </c>
      <c r="AR4" s="48">
        <v>0.87</v>
      </c>
      <c r="AS4" s="8">
        <v>181</v>
      </c>
      <c r="AT4" s="8" t="s">
        <v>164</v>
      </c>
    </row>
    <row r="5" spans="1:46" ht="15" thickBot="1" x14ac:dyDescent="0.35">
      <c r="A5" s="59" t="s">
        <v>100</v>
      </c>
      <c r="B5" s="60" t="s">
        <v>4</v>
      </c>
      <c r="C5" s="63">
        <v>3.1</v>
      </c>
      <c r="D5" s="63">
        <v>5.4</v>
      </c>
      <c r="E5" s="63">
        <v>6.7</v>
      </c>
      <c r="F5" s="63">
        <v>6.1</v>
      </c>
      <c r="G5" s="63">
        <v>78.400000000000006</v>
      </c>
      <c r="H5" s="63">
        <v>78.5</v>
      </c>
      <c r="I5" s="63">
        <v>138.69999999999999</v>
      </c>
      <c r="J5" s="63">
        <v>128.69999999999999</v>
      </c>
      <c r="L5" s="60" t="s">
        <v>36</v>
      </c>
      <c r="M5" s="63">
        <v>1.7</v>
      </c>
      <c r="N5" s="63">
        <v>1.8</v>
      </c>
      <c r="O5" s="63">
        <v>1.9</v>
      </c>
      <c r="P5" s="63">
        <v>1</v>
      </c>
      <c r="Q5" s="31"/>
      <c r="R5" s="60" t="s">
        <v>12</v>
      </c>
      <c r="S5" s="63">
        <v>1.8</v>
      </c>
      <c r="T5" s="63">
        <v>3.1</v>
      </c>
      <c r="U5" s="63">
        <v>5.7</v>
      </c>
      <c r="V5" s="63">
        <v>5.0999999999999996</v>
      </c>
      <c r="X5" s="60" t="s">
        <v>36</v>
      </c>
      <c r="Y5" s="63">
        <v>64.7</v>
      </c>
      <c r="Z5" s="63">
        <v>69.7</v>
      </c>
      <c r="AA5" s="63">
        <v>78.900000000000006</v>
      </c>
      <c r="AB5" s="63">
        <v>81.7</v>
      </c>
      <c r="AC5" s="31"/>
      <c r="AD5" s="60" t="s">
        <v>12</v>
      </c>
      <c r="AE5" s="63">
        <v>63.8</v>
      </c>
      <c r="AF5" s="63">
        <v>69.8</v>
      </c>
      <c r="AG5" s="63">
        <v>118.7</v>
      </c>
      <c r="AH5" s="63">
        <v>118.4</v>
      </c>
      <c r="AJ5" s="25" t="s">
        <v>55</v>
      </c>
      <c r="AK5" s="38" t="s">
        <v>60</v>
      </c>
      <c r="AL5" s="48">
        <v>0.79</v>
      </c>
      <c r="AM5" s="48">
        <v>101</v>
      </c>
      <c r="AN5" s="48" t="s">
        <v>165</v>
      </c>
      <c r="AO5" s="68"/>
      <c r="AP5" s="25" t="s">
        <v>55</v>
      </c>
      <c r="AQ5" s="38" t="s">
        <v>60</v>
      </c>
      <c r="AR5" s="48">
        <v>0.72299999999999998</v>
      </c>
      <c r="AS5" s="8">
        <v>70.5</v>
      </c>
      <c r="AT5" s="8" t="s">
        <v>166</v>
      </c>
    </row>
    <row r="6" spans="1:46" ht="15" thickBot="1" x14ac:dyDescent="0.35">
      <c r="A6" s="59" t="s">
        <v>101</v>
      </c>
      <c r="B6" s="60" t="s">
        <v>5</v>
      </c>
      <c r="C6" s="63">
        <v>2.4</v>
      </c>
      <c r="D6" s="63">
        <v>3.8</v>
      </c>
      <c r="E6" s="63">
        <v>6.1</v>
      </c>
      <c r="F6" s="63">
        <v>6</v>
      </c>
      <c r="G6" s="63">
        <v>81.400000000000006</v>
      </c>
      <c r="H6" s="63">
        <v>85.9</v>
      </c>
      <c r="I6" s="63">
        <v>134.5</v>
      </c>
      <c r="J6" s="63">
        <v>108.4</v>
      </c>
      <c r="L6" s="60" t="s">
        <v>25</v>
      </c>
      <c r="M6" s="63">
        <v>3.4</v>
      </c>
      <c r="N6" s="63">
        <v>3.1</v>
      </c>
      <c r="O6" s="63">
        <v>3.8</v>
      </c>
      <c r="P6" s="63">
        <v>3.4</v>
      </c>
      <c r="Q6" s="31"/>
      <c r="R6" s="60" t="s">
        <v>4</v>
      </c>
      <c r="S6" s="63">
        <v>3.1</v>
      </c>
      <c r="T6" s="63">
        <v>5.4</v>
      </c>
      <c r="U6" s="63">
        <v>6.7</v>
      </c>
      <c r="V6" s="63">
        <v>6.1</v>
      </c>
      <c r="X6" s="60" t="s">
        <v>25</v>
      </c>
      <c r="Y6" s="63">
        <v>63.5</v>
      </c>
      <c r="Z6" s="63">
        <v>75.8</v>
      </c>
      <c r="AA6" s="63">
        <v>81.7</v>
      </c>
      <c r="AB6" s="63">
        <v>79.7</v>
      </c>
      <c r="AC6" s="31"/>
      <c r="AD6" s="60" t="s">
        <v>4</v>
      </c>
      <c r="AE6" s="63">
        <v>78.400000000000006</v>
      </c>
      <c r="AF6" s="63">
        <v>78.5</v>
      </c>
      <c r="AG6" s="63">
        <v>138.69999999999999</v>
      </c>
      <c r="AH6" s="63">
        <v>128.69999999999999</v>
      </c>
      <c r="AJ6" s="8"/>
      <c r="AK6" s="8"/>
      <c r="AL6" s="8"/>
      <c r="AM6" s="8"/>
      <c r="AN6" s="8"/>
      <c r="AP6" s="8"/>
      <c r="AQ6" s="8"/>
      <c r="AR6" s="8"/>
      <c r="AS6" s="8"/>
      <c r="AT6" s="8"/>
    </row>
    <row r="7" spans="1:46" ht="15" thickBot="1" x14ac:dyDescent="0.35">
      <c r="A7" s="59" t="s">
        <v>102</v>
      </c>
      <c r="B7" s="64" t="s">
        <v>39</v>
      </c>
      <c r="C7" s="63">
        <v>1.1000000000000001</v>
      </c>
      <c r="D7" s="63">
        <v>3.1</v>
      </c>
      <c r="E7" s="63">
        <v>5.2</v>
      </c>
      <c r="F7" s="63">
        <v>5</v>
      </c>
      <c r="G7" s="63">
        <v>74.2</v>
      </c>
      <c r="H7" s="63">
        <v>91.2</v>
      </c>
      <c r="I7" s="63">
        <v>130.1</v>
      </c>
      <c r="J7" s="63">
        <v>109.8</v>
      </c>
      <c r="L7" s="60" t="s">
        <v>16</v>
      </c>
      <c r="M7" s="63">
        <v>2</v>
      </c>
      <c r="N7" s="63">
        <v>2.2000000000000002</v>
      </c>
      <c r="O7" s="63">
        <v>2.4</v>
      </c>
      <c r="P7" s="63">
        <v>2.4</v>
      </c>
      <c r="Q7" s="31"/>
      <c r="R7" s="60" t="s">
        <v>5</v>
      </c>
      <c r="S7" s="63">
        <v>2.4</v>
      </c>
      <c r="T7" s="63">
        <v>3.8</v>
      </c>
      <c r="U7" s="63">
        <v>6.1</v>
      </c>
      <c r="V7" s="63">
        <v>6</v>
      </c>
      <c r="X7" s="60" t="s">
        <v>16</v>
      </c>
      <c r="Y7" s="63">
        <v>78.900000000000006</v>
      </c>
      <c r="Z7" s="63">
        <v>79.8</v>
      </c>
      <c r="AA7" s="63">
        <v>85.7</v>
      </c>
      <c r="AB7" s="63">
        <v>79.8</v>
      </c>
      <c r="AC7" s="31"/>
      <c r="AD7" s="60" t="s">
        <v>5</v>
      </c>
      <c r="AE7" s="63">
        <v>81.400000000000006</v>
      </c>
      <c r="AF7" s="63">
        <v>85.9</v>
      </c>
      <c r="AG7" s="63">
        <v>134.5</v>
      </c>
      <c r="AH7" s="63">
        <v>108.4</v>
      </c>
      <c r="AJ7" s="8" t="s">
        <v>58</v>
      </c>
      <c r="AK7" s="8" t="s">
        <v>48</v>
      </c>
      <c r="AL7" s="38" t="s">
        <v>60</v>
      </c>
      <c r="AM7" s="38"/>
      <c r="AN7" s="38"/>
      <c r="AO7" s="39"/>
      <c r="AP7" s="8" t="s">
        <v>58</v>
      </c>
      <c r="AQ7" s="8" t="s">
        <v>48</v>
      </c>
      <c r="AR7" s="38" t="s">
        <v>60</v>
      </c>
      <c r="AS7" s="8"/>
      <c r="AT7" s="8"/>
    </row>
    <row r="8" spans="1:46" ht="15" thickBot="1" x14ac:dyDescent="0.35">
      <c r="A8" s="59" t="s">
        <v>103</v>
      </c>
      <c r="B8" s="60" t="s">
        <v>9</v>
      </c>
      <c r="C8" s="63">
        <v>1.8</v>
      </c>
      <c r="D8" s="63">
        <v>4.0999999999999996</v>
      </c>
      <c r="E8" s="63">
        <v>4.8</v>
      </c>
      <c r="F8" s="63">
        <v>4.0999999999999996</v>
      </c>
      <c r="G8" s="63">
        <v>69.900000000000006</v>
      </c>
      <c r="H8" s="63">
        <v>80.2</v>
      </c>
      <c r="I8" s="63">
        <v>128.69999999999999</v>
      </c>
      <c r="J8" s="63">
        <v>111.8</v>
      </c>
      <c r="L8" s="60" t="s">
        <v>26</v>
      </c>
      <c r="M8" s="63">
        <v>1.2</v>
      </c>
      <c r="N8" s="63">
        <v>1.2</v>
      </c>
      <c r="O8" s="63">
        <v>1.8</v>
      </c>
      <c r="P8" s="63">
        <v>2</v>
      </c>
      <c r="Q8" s="31"/>
      <c r="R8" s="64" t="s">
        <v>39</v>
      </c>
      <c r="S8" s="63">
        <v>1.1000000000000001</v>
      </c>
      <c r="T8" s="63">
        <v>3.1</v>
      </c>
      <c r="U8" s="63">
        <v>5.2</v>
      </c>
      <c r="V8" s="63">
        <v>5</v>
      </c>
      <c r="X8" s="60" t="s">
        <v>26</v>
      </c>
      <c r="Y8" s="63">
        <v>77.400000000000006</v>
      </c>
      <c r="Z8" s="63">
        <v>81.900000000000006</v>
      </c>
      <c r="AA8" s="63">
        <v>85.7</v>
      </c>
      <c r="AB8" s="63">
        <v>85.9</v>
      </c>
      <c r="AC8" s="31"/>
      <c r="AD8" s="64" t="s">
        <v>39</v>
      </c>
      <c r="AE8" s="63">
        <v>74.2</v>
      </c>
      <c r="AF8" s="63">
        <v>91.2</v>
      </c>
      <c r="AG8" s="63">
        <v>130.1</v>
      </c>
      <c r="AH8" s="63">
        <v>109.8</v>
      </c>
      <c r="AJ8" s="8" t="s">
        <v>58</v>
      </c>
      <c r="AK8" s="8" t="s">
        <v>61</v>
      </c>
      <c r="AL8" s="38" t="s">
        <v>60</v>
      </c>
      <c r="AM8" s="38"/>
      <c r="AN8" s="38"/>
      <c r="AO8" s="39"/>
      <c r="AP8" s="8" t="s">
        <v>58</v>
      </c>
      <c r="AQ8" s="8" t="s">
        <v>61</v>
      </c>
      <c r="AR8" s="38" t="s">
        <v>60</v>
      </c>
      <c r="AS8" s="8"/>
      <c r="AT8" s="8"/>
    </row>
    <row r="9" spans="1:46" ht="15" thickBot="1" x14ac:dyDescent="0.35">
      <c r="A9" s="59" t="s">
        <v>104</v>
      </c>
      <c r="B9" s="60" t="s">
        <v>7</v>
      </c>
      <c r="C9" s="63">
        <v>1.9</v>
      </c>
      <c r="D9" s="63">
        <v>3.8</v>
      </c>
      <c r="E9" s="63">
        <v>5.2</v>
      </c>
      <c r="F9" s="63">
        <v>4.8</v>
      </c>
      <c r="G9" s="63">
        <v>61.4</v>
      </c>
      <c r="H9" s="63">
        <v>65.8</v>
      </c>
      <c r="I9" s="63">
        <v>124.7</v>
      </c>
      <c r="J9" s="63">
        <v>118.9</v>
      </c>
      <c r="L9" s="60" t="s">
        <v>19</v>
      </c>
      <c r="M9" s="63">
        <v>1.8</v>
      </c>
      <c r="N9" s="63">
        <v>1.8</v>
      </c>
      <c r="O9" s="63">
        <v>1.8</v>
      </c>
      <c r="P9" s="63">
        <v>2</v>
      </c>
      <c r="Q9" s="31"/>
      <c r="R9" s="60" t="s">
        <v>9</v>
      </c>
      <c r="S9" s="63">
        <v>1.8</v>
      </c>
      <c r="T9" s="63">
        <v>4.0999999999999996</v>
      </c>
      <c r="U9" s="63">
        <v>4.8</v>
      </c>
      <c r="V9" s="63">
        <v>4.0999999999999996</v>
      </c>
      <c r="X9" s="60" t="s">
        <v>19</v>
      </c>
      <c r="Y9" s="63">
        <v>69.8</v>
      </c>
      <c r="Z9" s="63">
        <v>75.8</v>
      </c>
      <c r="AA9" s="63">
        <v>81.7</v>
      </c>
      <c r="AB9" s="63">
        <v>84.7</v>
      </c>
      <c r="AC9" s="31"/>
      <c r="AD9" s="60" t="s">
        <v>9</v>
      </c>
      <c r="AE9" s="63">
        <v>69.900000000000006</v>
      </c>
      <c r="AF9" s="63">
        <v>80.2</v>
      </c>
      <c r="AG9" s="63">
        <v>128.69999999999999</v>
      </c>
      <c r="AH9" s="63">
        <v>111.8</v>
      </c>
      <c r="AJ9" s="8" t="s">
        <v>58</v>
      </c>
      <c r="AK9" s="8" t="s">
        <v>62</v>
      </c>
      <c r="AL9" s="38" t="s">
        <v>60</v>
      </c>
      <c r="AM9" s="38"/>
      <c r="AN9" s="38"/>
      <c r="AO9" s="39"/>
      <c r="AP9" s="8" t="s">
        <v>58</v>
      </c>
      <c r="AQ9" s="8" t="s">
        <v>62</v>
      </c>
      <c r="AR9" s="38" t="s">
        <v>60</v>
      </c>
      <c r="AS9" s="8"/>
      <c r="AT9" s="8"/>
    </row>
    <row r="10" spans="1:46" ht="15" thickBot="1" x14ac:dyDescent="0.35">
      <c r="A10" s="59" t="s">
        <v>105</v>
      </c>
      <c r="B10" s="60" t="s">
        <v>14</v>
      </c>
      <c r="C10" s="63">
        <v>3</v>
      </c>
      <c r="D10" s="63">
        <v>5.7</v>
      </c>
      <c r="E10" s="63">
        <v>6.8</v>
      </c>
      <c r="F10" s="63">
        <v>6.4</v>
      </c>
      <c r="G10" s="63">
        <v>59.7</v>
      </c>
      <c r="H10" s="63">
        <v>69.8</v>
      </c>
      <c r="I10" s="63">
        <v>124.7</v>
      </c>
      <c r="J10" s="63">
        <v>131.19999999999999</v>
      </c>
      <c r="L10" s="60" t="s">
        <v>24</v>
      </c>
      <c r="M10" s="63">
        <v>1.9</v>
      </c>
      <c r="N10" s="63">
        <v>2.4</v>
      </c>
      <c r="O10" s="63">
        <v>2.6</v>
      </c>
      <c r="P10" s="63">
        <v>2.4</v>
      </c>
      <c r="Q10" s="31"/>
      <c r="R10" s="60" t="s">
        <v>7</v>
      </c>
      <c r="S10" s="63">
        <v>1.9</v>
      </c>
      <c r="T10" s="63">
        <v>3.8</v>
      </c>
      <c r="U10" s="63">
        <v>5.2</v>
      </c>
      <c r="V10" s="63">
        <v>4.8</v>
      </c>
      <c r="X10" s="60" t="s">
        <v>24</v>
      </c>
      <c r="Y10" s="63">
        <v>65.400000000000006</v>
      </c>
      <c r="Z10" s="63">
        <v>70.900000000000006</v>
      </c>
      <c r="AA10" s="63">
        <v>84.7</v>
      </c>
      <c r="AB10" s="63">
        <v>89.8</v>
      </c>
      <c r="AC10" s="31"/>
      <c r="AD10" s="60" t="s">
        <v>7</v>
      </c>
      <c r="AE10" s="63">
        <v>61.4</v>
      </c>
      <c r="AF10" s="63">
        <v>65.8</v>
      </c>
      <c r="AG10" s="63">
        <v>124.7</v>
      </c>
      <c r="AH10" s="63">
        <v>118.9</v>
      </c>
      <c r="AJ10" s="8" t="s">
        <v>48</v>
      </c>
      <c r="AK10" s="8" t="s">
        <v>61</v>
      </c>
      <c r="AL10" s="38" t="s">
        <v>60</v>
      </c>
      <c r="AM10" s="38"/>
      <c r="AN10" s="38"/>
      <c r="AO10" s="39"/>
      <c r="AP10" s="8" t="s">
        <v>48</v>
      </c>
      <c r="AQ10" s="8" t="s">
        <v>61</v>
      </c>
      <c r="AR10" s="38" t="s">
        <v>60</v>
      </c>
      <c r="AS10" s="8"/>
      <c r="AT10" s="8"/>
    </row>
    <row r="11" spans="1:46" ht="15" thickBot="1" x14ac:dyDescent="0.35">
      <c r="A11" s="59" t="s">
        <v>106</v>
      </c>
      <c r="B11" s="60" t="s">
        <v>11</v>
      </c>
      <c r="C11" s="63">
        <v>2.1</v>
      </c>
      <c r="D11" s="63">
        <v>4.2</v>
      </c>
      <c r="E11" s="63">
        <v>5.7</v>
      </c>
      <c r="F11" s="63">
        <v>5.6</v>
      </c>
      <c r="G11" s="63">
        <v>59.8</v>
      </c>
      <c r="H11" s="63">
        <v>75.8</v>
      </c>
      <c r="I11" s="63">
        <v>126.9</v>
      </c>
      <c r="J11" s="63">
        <v>120.9</v>
      </c>
      <c r="L11" s="60" t="s">
        <v>21</v>
      </c>
      <c r="M11" s="63">
        <v>3.4</v>
      </c>
      <c r="N11" s="63">
        <v>3.1</v>
      </c>
      <c r="O11" s="63">
        <v>3.1</v>
      </c>
      <c r="P11" s="63">
        <v>3</v>
      </c>
      <c r="Q11" s="31"/>
      <c r="R11" s="60" t="s">
        <v>14</v>
      </c>
      <c r="S11" s="63">
        <v>3</v>
      </c>
      <c r="T11" s="63">
        <v>5.7</v>
      </c>
      <c r="U11" s="63">
        <v>6.8</v>
      </c>
      <c r="V11" s="63">
        <v>6.4</v>
      </c>
      <c r="X11" s="60" t="s">
        <v>21</v>
      </c>
      <c r="Y11" s="63">
        <v>77.8</v>
      </c>
      <c r="Z11" s="63">
        <v>79.8</v>
      </c>
      <c r="AA11" s="63">
        <v>89.9</v>
      </c>
      <c r="AB11" s="63">
        <v>96.8</v>
      </c>
      <c r="AC11" s="31"/>
      <c r="AD11" s="60" t="s">
        <v>14</v>
      </c>
      <c r="AE11" s="63">
        <v>59.7</v>
      </c>
      <c r="AF11" s="63">
        <v>69.8</v>
      </c>
      <c r="AG11" s="63">
        <v>124.7</v>
      </c>
      <c r="AH11" s="63">
        <v>131.19999999999999</v>
      </c>
      <c r="AJ11" s="8" t="s">
        <v>48</v>
      </c>
      <c r="AK11" s="8" t="s">
        <v>62</v>
      </c>
      <c r="AL11" s="38" t="s">
        <v>60</v>
      </c>
      <c r="AM11" s="38"/>
      <c r="AN11" s="38"/>
      <c r="AO11" s="39"/>
      <c r="AP11" s="8" t="s">
        <v>48</v>
      </c>
      <c r="AQ11" s="8" t="s">
        <v>62</v>
      </c>
      <c r="AR11" s="38" t="s">
        <v>60</v>
      </c>
      <c r="AS11" s="8"/>
      <c r="AT11" s="8"/>
    </row>
    <row r="12" spans="1:46" ht="15" thickBot="1" x14ac:dyDescent="0.35">
      <c r="A12" s="59" t="s">
        <v>107</v>
      </c>
      <c r="B12" s="60" t="s">
        <v>10</v>
      </c>
      <c r="C12" s="63">
        <v>2.2000000000000002</v>
      </c>
      <c r="D12" s="63">
        <v>4.7</v>
      </c>
      <c r="E12" s="63">
        <v>5.9</v>
      </c>
      <c r="F12" s="63">
        <v>5.4</v>
      </c>
      <c r="G12" s="63">
        <v>69.8</v>
      </c>
      <c r="H12" s="63">
        <v>81.599999999999994</v>
      </c>
      <c r="I12" s="63">
        <v>134.1</v>
      </c>
      <c r="J12" s="63">
        <v>114.1</v>
      </c>
      <c r="L12" s="60" t="s">
        <v>6</v>
      </c>
      <c r="M12" s="63">
        <v>1.4</v>
      </c>
      <c r="N12" s="63">
        <v>1.7</v>
      </c>
      <c r="O12" s="63">
        <v>1.8</v>
      </c>
      <c r="P12" s="63">
        <v>2</v>
      </c>
      <c r="Q12" s="31"/>
      <c r="R12" s="60" t="s">
        <v>11</v>
      </c>
      <c r="S12" s="63">
        <v>2.1</v>
      </c>
      <c r="T12" s="63">
        <v>4.2</v>
      </c>
      <c r="U12" s="63">
        <v>5.7</v>
      </c>
      <c r="V12" s="63">
        <v>5.6</v>
      </c>
      <c r="X12" s="60" t="s">
        <v>6</v>
      </c>
      <c r="Y12" s="63">
        <v>63.7</v>
      </c>
      <c r="Z12" s="63">
        <v>70.8</v>
      </c>
      <c r="AA12" s="63">
        <v>84.7</v>
      </c>
      <c r="AB12" s="63">
        <v>111.2</v>
      </c>
      <c r="AC12" s="31"/>
      <c r="AD12" s="60" t="s">
        <v>11</v>
      </c>
      <c r="AE12" s="63">
        <v>59.8</v>
      </c>
      <c r="AF12" s="63">
        <v>75.8</v>
      </c>
      <c r="AG12" s="63">
        <v>126.9</v>
      </c>
      <c r="AH12" s="63">
        <v>120.9</v>
      </c>
      <c r="AJ12" s="8"/>
      <c r="AK12" s="8"/>
      <c r="AL12" s="8"/>
      <c r="AM12" s="8"/>
      <c r="AN12" s="8"/>
      <c r="AP12" s="8"/>
      <c r="AQ12" s="8"/>
      <c r="AR12" s="8"/>
      <c r="AS12" s="8"/>
      <c r="AT12" s="8"/>
    </row>
    <row r="13" spans="1:46" ht="15" thickBot="1" x14ac:dyDescent="0.35">
      <c r="A13" s="59" t="s">
        <v>108</v>
      </c>
      <c r="B13" s="60" t="s">
        <v>17</v>
      </c>
      <c r="C13" s="63">
        <v>2</v>
      </c>
      <c r="D13" s="63">
        <v>3.9</v>
      </c>
      <c r="E13" s="63">
        <v>4.7</v>
      </c>
      <c r="F13" s="63">
        <v>4.7</v>
      </c>
      <c r="G13" s="63">
        <v>71.5</v>
      </c>
      <c r="H13" s="63">
        <v>85.9</v>
      </c>
      <c r="I13" s="63">
        <v>139.9</v>
      </c>
      <c r="J13" s="63">
        <v>112.5</v>
      </c>
      <c r="L13" s="60" t="s">
        <v>29</v>
      </c>
      <c r="M13" s="63">
        <v>1.4</v>
      </c>
      <c r="N13" s="63">
        <v>1.4</v>
      </c>
      <c r="O13" s="63">
        <v>1.7</v>
      </c>
      <c r="P13" s="63">
        <v>2</v>
      </c>
      <c r="Q13" s="31"/>
      <c r="R13" s="60" t="s">
        <v>10</v>
      </c>
      <c r="S13" s="63">
        <v>2.2000000000000002</v>
      </c>
      <c r="T13" s="63">
        <v>4.7</v>
      </c>
      <c r="U13" s="63">
        <v>5.9</v>
      </c>
      <c r="V13" s="63">
        <v>5.4</v>
      </c>
      <c r="X13" s="60" t="s">
        <v>29</v>
      </c>
      <c r="Y13" s="63">
        <v>65.900000000000006</v>
      </c>
      <c r="Z13" s="63">
        <v>66.8</v>
      </c>
      <c r="AA13" s="63">
        <v>85.9</v>
      </c>
      <c r="AB13" s="63">
        <v>102.8</v>
      </c>
      <c r="AC13" s="31"/>
      <c r="AD13" s="60" t="s">
        <v>10</v>
      </c>
      <c r="AE13" s="63">
        <v>69.8</v>
      </c>
      <c r="AF13" s="63">
        <v>81.599999999999994</v>
      </c>
      <c r="AG13" s="63">
        <v>134.1</v>
      </c>
      <c r="AH13" s="63">
        <v>114.1</v>
      </c>
      <c r="AJ13" s="69" t="s">
        <v>91</v>
      </c>
      <c r="AK13" s="69" t="s">
        <v>69</v>
      </c>
      <c r="AL13" s="38" t="s">
        <v>60</v>
      </c>
      <c r="AM13" s="38"/>
      <c r="AN13" s="38"/>
      <c r="AO13" s="39"/>
      <c r="AP13" s="69" t="s">
        <v>63</v>
      </c>
      <c r="AQ13" s="69" t="s">
        <v>109</v>
      </c>
      <c r="AR13" s="38">
        <v>1.2E-2</v>
      </c>
      <c r="AS13" s="8"/>
      <c r="AT13" s="8"/>
    </row>
    <row r="14" spans="1:46" ht="15" thickBot="1" x14ac:dyDescent="0.35">
      <c r="A14" s="59" t="s">
        <v>110</v>
      </c>
      <c r="B14" s="60" t="s">
        <v>13</v>
      </c>
      <c r="C14" s="63">
        <v>1.1000000000000001</v>
      </c>
      <c r="D14" s="63">
        <v>3</v>
      </c>
      <c r="E14" s="63">
        <v>4.0999999999999996</v>
      </c>
      <c r="F14" s="63">
        <v>4.2</v>
      </c>
      <c r="G14" s="63">
        <v>75.2</v>
      </c>
      <c r="H14" s="63">
        <v>85.6</v>
      </c>
      <c r="I14" s="63">
        <v>137.80000000000001</v>
      </c>
      <c r="J14" s="63">
        <v>124.8</v>
      </c>
      <c r="L14" s="60" t="s">
        <v>28</v>
      </c>
      <c r="M14" s="63">
        <v>1.1000000000000001</v>
      </c>
      <c r="N14" s="63">
        <v>1.3</v>
      </c>
      <c r="O14" s="63">
        <v>1.6</v>
      </c>
      <c r="P14" s="63">
        <v>1.9</v>
      </c>
      <c r="Q14" s="31"/>
      <c r="R14" s="60" t="s">
        <v>17</v>
      </c>
      <c r="S14" s="63">
        <v>2</v>
      </c>
      <c r="T14" s="63">
        <v>3.9</v>
      </c>
      <c r="U14" s="63">
        <v>4.7</v>
      </c>
      <c r="V14" s="63">
        <v>4.7</v>
      </c>
      <c r="X14" s="60" t="s">
        <v>28</v>
      </c>
      <c r="Y14" s="63">
        <v>61.7</v>
      </c>
      <c r="Z14" s="63">
        <v>63.8</v>
      </c>
      <c r="AA14" s="63">
        <v>79.8</v>
      </c>
      <c r="AB14" s="63">
        <v>89.9</v>
      </c>
      <c r="AC14" s="31"/>
      <c r="AD14" s="60" t="s">
        <v>17</v>
      </c>
      <c r="AE14" s="63">
        <v>71.5</v>
      </c>
      <c r="AF14" s="63">
        <v>85.9</v>
      </c>
      <c r="AG14" s="63">
        <v>139.9</v>
      </c>
      <c r="AH14" s="63">
        <v>112.5</v>
      </c>
      <c r="AJ14" s="69" t="s">
        <v>91</v>
      </c>
      <c r="AK14" s="69" t="s">
        <v>70</v>
      </c>
      <c r="AL14" s="38" t="s">
        <v>60</v>
      </c>
      <c r="AM14" s="38"/>
      <c r="AN14" s="38"/>
      <c r="AO14" s="39"/>
      <c r="AP14" s="69" t="s">
        <v>63</v>
      </c>
      <c r="AQ14" s="69" t="s">
        <v>111</v>
      </c>
      <c r="AR14" s="38" t="s">
        <v>60</v>
      </c>
      <c r="AS14" s="8"/>
      <c r="AT14" s="8"/>
    </row>
    <row r="15" spans="1:46" ht="15" thickBot="1" x14ac:dyDescent="0.35">
      <c r="A15" s="59" t="s">
        <v>112</v>
      </c>
      <c r="B15" s="60" t="s">
        <v>15</v>
      </c>
      <c r="C15" s="63">
        <v>0.8</v>
      </c>
      <c r="D15" s="63">
        <v>2.9</v>
      </c>
      <c r="E15" s="63">
        <v>3.8</v>
      </c>
      <c r="F15" s="63">
        <v>3.9</v>
      </c>
      <c r="G15" s="63">
        <v>76.400000000000006</v>
      </c>
      <c r="H15" s="63">
        <v>80.099999999999994</v>
      </c>
      <c r="I15" s="63">
        <v>135.19999999999999</v>
      </c>
      <c r="J15" s="63">
        <v>130.69999999999999</v>
      </c>
      <c r="L15" s="60" t="s">
        <v>27</v>
      </c>
      <c r="M15" s="63">
        <v>1.1000000000000001</v>
      </c>
      <c r="N15" s="63">
        <v>1.3</v>
      </c>
      <c r="O15" s="63">
        <v>1.3</v>
      </c>
      <c r="P15" s="63">
        <v>1.5</v>
      </c>
      <c r="Q15" s="31"/>
      <c r="R15" s="60" t="s">
        <v>13</v>
      </c>
      <c r="S15" s="63">
        <v>1.1000000000000001</v>
      </c>
      <c r="T15" s="63">
        <v>3</v>
      </c>
      <c r="U15" s="63">
        <v>4.0999999999999996</v>
      </c>
      <c r="V15" s="63">
        <v>4.2</v>
      </c>
      <c r="X15" s="60" t="s">
        <v>27</v>
      </c>
      <c r="Y15" s="63">
        <v>63.5</v>
      </c>
      <c r="Z15" s="63">
        <v>69.7</v>
      </c>
      <c r="AA15" s="63">
        <v>78.900000000000006</v>
      </c>
      <c r="AB15" s="63">
        <v>91.4</v>
      </c>
      <c r="AC15" s="31"/>
      <c r="AD15" s="60" t="s">
        <v>13</v>
      </c>
      <c r="AE15" s="63">
        <v>75.2</v>
      </c>
      <c r="AF15" s="63">
        <v>85.6</v>
      </c>
      <c r="AG15" s="63">
        <v>137.80000000000001</v>
      </c>
      <c r="AH15" s="63">
        <v>124.8</v>
      </c>
      <c r="AJ15" s="69" t="s">
        <v>91</v>
      </c>
      <c r="AK15" s="69" t="s">
        <v>71</v>
      </c>
      <c r="AL15" s="38" t="s">
        <v>60</v>
      </c>
      <c r="AM15" s="38"/>
      <c r="AN15" s="38"/>
      <c r="AO15" s="39"/>
      <c r="AP15" s="69" t="s">
        <v>63</v>
      </c>
      <c r="AQ15" s="69" t="s">
        <v>113</v>
      </c>
      <c r="AR15" s="38" t="s">
        <v>60</v>
      </c>
      <c r="AS15" s="8"/>
      <c r="AT15" s="8"/>
    </row>
    <row r="16" spans="1:46" ht="15" thickBot="1" x14ac:dyDescent="0.35">
      <c r="A16" s="59" t="s">
        <v>114</v>
      </c>
      <c r="B16" s="60" t="s">
        <v>42</v>
      </c>
      <c r="C16" s="63">
        <v>1.8</v>
      </c>
      <c r="D16" s="63">
        <v>3.7</v>
      </c>
      <c r="E16" s="63">
        <v>4.0999999999999996</v>
      </c>
      <c r="F16" s="63">
        <v>3.7</v>
      </c>
      <c r="G16" s="63">
        <v>77.8</v>
      </c>
      <c r="H16" s="63">
        <v>85.4</v>
      </c>
      <c r="I16" s="63">
        <v>134.1</v>
      </c>
      <c r="J16" s="63">
        <v>124.8</v>
      </c>
      <c r="L16" s="60" t="s">
        <v>23</v>
      </c>
      <c r="M16" s="63">
        <v>0.9</v>
      </c>
      <c r="N16" s="63">
        <v>1.1000000000000001</v>
      </c>
      <c r="O16" s="63">
        <v>1.7</v>
      </c>
      <c r="P16" s="63">
        <v>2</v>
      </c>
      <c r="Q16" s="31"/>
      <c r="R16" s="60" t="s">
        <v>15</v>
      </c>
      <c r="S16" s="63">
        <v>0.8</v>
      </c>
      <c r="T16" s="63">
        <v>2.9</v>
      </c>
      <c r="U16" s="63">
        <v>3.8</v>
      </c>
      <c r="V16" s="63">
        <v>3.9</v>
      </c>
      <c r="X16" s="60" t="s">
        <v>23</v>
      </c>
      <c r="Y16" s="63">
        <v>62.7</v>
      </c>
      <c r="Z16" s="63">
        <v>67.8</v>
      </c>
      <c r="AA16" s="63">
        <v>81.2</v>
      </c>
      <c r="AB16" s="63">
        <v>94.2</v>
      </c>
      <c r="AC16" s="31"/>
      <c r="AD16" s="60" t="s">
        <v>15</v>
      </c>
      <c r="AE16" s="63">
        <v>76.400000000000006</v>
      </c>
      <c r="AF16" s="63">
        <v>80.099999999999994</v>
      </c>
      <c r="AG16" s="63">
        <v>135.19999999999999</v>
      </c>
      <c r="AH16" s="63">
        <v>130.69999999999999</v>
      </c>
      <c r="AJ16" s="69" t="s">
        <v>109</v>
      </c>
      <c r="AK16" s="69" t="s">
        <v>69</v>
      </c>
      <c r="AL16" s="38" t="s">
        <v>60</v>
      </c>
      <c r="AM16" s="38"/>
      <c r="AN16" s="38"/>
      <c r="AO16" s="39"/>
      <c r="AP16" s="69" t="s">
        <v>91</v>
      </c>
      <c r="AQ16" s="69" t="s">
        <v>69</v>
      </c>
      <c r="AR16" s="38" t="s">
        <v>60</v>
      </c>
      <c r="AS16" s="8"/>
      <c r="AT16" s="8"/>
    </row>
    <row r="17" spans="1:46" ht="15" thickBot="1" x14ac:dyDescent="0.35">
      <c r="A17" s="59" t="s">
        <v>115</v>
      </c>
      <c r="B17" s="60" t="s">
        <v>18</v>
      </c>
      <c r="C17" s="63">
        <v>1.4</v>
      </c>
      <c r="D17" s="63">
        <v>3.5</v>
      </c>
      <c r="E17" s="63">
        <v>4</v>
      </c>
      <c r="F17" s="63">
        <v>3.8</v>
      </c>
      <c r="G17" s="63">
        <v>71.599999999999994</v>
      </c>
      <c r="H17" s="63">
        <v>84.7</v>
      </c>
      <c r="I17" s="63">
        <v>128.5</v>
      </c>
      <c r="J17" s="63">
        <v>120.7</v>
      </c>
      <c r="L17" s="4" t="s">
        <v>151</v>
      </c>
      <c r="M17" s="41">
        <f>AVERAGE(M4:M16)</f>
        <v>1.7692307692307692</v>
      </c>
      <c r="N17" s="41">
        <f>AVERAGE(N4:N16)</f>
        <v>1.8153846153846156</v>
      </c>
      <c r="O17" s="41">
        <f>AVERAGE(O4:O16)</f>
        <v>2.1076923076923082</v>
      </c>
      <c r="P17" s="41">
        <f>AVERAGE(P4:P16)</f>
        <v>2.1230769230769231</v>
      </c>
      <c r="Q17" s="31"/>
      <c r="R17" s="60" t="s">
        <v>42</v>
      </c>
      <c r="S17" s="63">
        <v>1.8</v>
      </c>
      <c r="T17" s="63">
        <v>3.7</v>
      </c>
      <c r="U17" s="63">
        <v>4.0999999999999996</v>
      </c>
      <c r="V17" s="63">
        <v>3.7</v>
      </c>
      <c r="X17" s="4" t="s">
        <v>151</v>
      </c>
      <c r="Y17" s="41">
        <f>AVERAGE(Y4:Y16)</f>
        <v>67.284615384615392</v>
      </c>
      <c r="Z17" s="41">
        <f>AVERAGE(Z4:Z16)</f>
        <v>72.023076923076914</v>
      </c>
      <c r="AA17" s="41">
        <f>AVERAGE(AA4:AA16)</f>
        <v>83.553846153846138</v>
      </c>
      <c r="AB17" s="41">
        <f>AVERAGE(AB4:AB16)</f>
        <v>90.638461538461542</v>
      </c>
      <c r="AC17" s="31"/>
      <c r="AD17" s="60" t="s">
        <v>42</v>
      </c>
      <c r="AE17" s="63">
        <v>77.8</v>
      </c>
      <c r="AF17" s="63">
        <v>85.4</v>
      </c>
      <c r="AG17" s="63">
        <v>134.1</v>
      </c>
      <c r="AH17" s="63">
        <v>124.8</v>
      </c>
      <c r="AJ17" s="69" t="s">
        <v>69</v>
      </c>
      <c r="AK17" s="69" t="s">
        <v>70</v>
      </c>
      <c r="AL17" s="38" t="s">
        <v>60</v>
      </c>
      <c r="AM17" s="38"/>
      <c r="AN17" s="38"/>
      <c r="AO17" s="39"/>
      <c r="AP17" s="69" t="s">
        <v>91</v>
      </c>
      <c r="AQ17" s="69" t="s">
        <v>70</v>
      </c>
      <c r="AR17" s="38" t="s">
        <v>60</v>
      </c>
      <c r="AS17" s="8"/>
      <c r="AT17" s="8"/>
    </row>
    <row r="18" spans="1:46" ht="15" thickBot="1" x14ac:dyDescent="0.35">
      <c r="A18" s="59" t="s">
        <v>116</v>
      </c>
      <c r="B18" s="60" t="s">
        <v>20</v>
      </c>
      <c r="C18" s="65">
        <v>1.6</v>
      </c>
      <c r="D18" s="65">
        <v>3.7</v>
      </c>
      <c r="E18" s="65">
        <v>4</v>
      </c>
      <c r="F18" s="65">
        <v>3.2</v>
      </c>
      <c r="G18" s="65">
        <v>74.099999999999994</v>
      </c>
      <c r="H18" s="65">
        <v>91.4</v>
      </c>
      <c r="I18" s="65">
        <v>118.7</v>
      </c>
      <c r="J18" s="65">
        <v>111.5</v>
      </c>
      <c r="L18" s="5" t="s">
        <v>31</v>
      </c>
      <c r="M18" s="42">
        <f>_xlfn.STDEV.S(M4:M16)</f>
        <v>0.79831553430187774</v>
      </c>
      <c r="N18" s="42">
        <f>_xlfn.STDEV.S(N4:N16)</f>
        <v>0.69383734146430587</v>
      </c>
      <c r="O18" s="42">
        <f>_xlfn.STDEV.S(O4:O16)</f>
        <v>0.69457605590453209</v>
      </c>
      <c r="P18" s="42">
        <f>_xlfn.STDEV.S(P4:P16)</f>
        <v>0.60160042962341387</v>
      </c>
      <c r="Q18" s="31"/>
      <c r="R18" s="60" t="s">
        <v>18</v>
      </c>
      <c r="S18" s="63">
        <v>1.4</v>
      </c>
      <c r="T18" s="63">
        <v>3.5</v>
      </c>
      <c r="U18" s="63">
        <v>4</v>
      </c>
      <c r="V18" s="63">
        <v>3.8</v>
      </c>
      <c r="X18" s="5" t="s">
        <v>31</v>
      </c>
      <c r="Y18" s="42">
        <f>_xlfn.STDEV.S(Y4:Y16)</f>
        <v>6.5670701424920273</v>
      </c>
      <c r="Z18" s="42">
        <f>_xlfn.STDEV.S(Z4:Z16)</f>
        <v>6.0731861278565908</v>
      </c>
      <c r="AA18" s="42">
        <f>_xlfn.STDEV.S(AA4:AA16)</f>
        <v>3.442773926311792</v>
      </c>
      <c r="AB18" s="42">
        <f>_xlfn.STDEV.S(AB4:AB16)</f>
        <v>9.119351079027723</v>
      </c>
      <c r="AC18" s="31"/>
      <c r="AD18" s="60" t="s">
        <v>18</v>
      </c>
      <c r="AE18" s="63">
        <v>71.599999999999994</v>
      </c>
      <c r="AF18" s="63">
        <v>84.7</v>
      </c>
      <c r="AG18" s="63">
        <v>128.5</v>
      </c>
      <c r="AH18" s="63">
        <v>120.7</v>
      </c>
      <c r="AJ18" s="69" t="s">
        <v>69</v>
      </c>
      <c r="AK18" s="69" t="s">
        <v>71</v>
      </c>
      <c r="AL18" s="38" t="s">
        <v>60</v>
      </c>
      <c r="AM18" s="38"/>
      <c r="AN18" s="38"/>
      <c r="AO18" s="39"/>
      <c r="AP18" s="69" t="s">
        <v>91</v>
      </c>
      <c r="AQ18" s="69" t="s">
        <v>71</v>
      </c>
      <c r="AR18" s="38" t="s">
        <v>60</v>
      </c>
      <c r="AS18" s="8"/>
      <c r="AT18" s="8"/>
    </row>
    <row r="19" spans="1:46" ht="15" thickBot="1" x14ac:dyDescent="0.35">
      <c r="A19" s="59" t="s">
        <v>117</v>
      </c>
      <c r="B19" s="60" t="s">
        <v>22</v>
      </c>
      <c r="C19" s="61">
        <v>1.7</v>
      </c>
      <c r="D19" s="61">
        <v>1.2</v>
      </c>
      <c r="E19" s="63">
        <v>1.9</v>
      </c>
      <c r="F19" s="63">
        <v>2</v>
      </c>
      <c r="G19" s="61">
        <v>59.7</v>
      </c>
      <c r="H19" s="61">
        <v>63.7</v>
      </c>
      <c r="I19" s="63">
        <v>87.4</v>
      </c>
      <c r="J19" s="63">
        <v>90.4</v>
      </c>
      <c r="Q19" s="31"/>
      <c r="R19" s="60" t="s">
        <v>20</v>
      </c>
      <c r="S19" s="65">
        <v>1.6</v>
      </c>
      <c r="T19" s="65">
        <v>3.7</v>
      </c>
      <c r="U19" s="65">
        <v>4</v>
      </c>
      <c r="V19" s="65">
        <v>3.2</v>
      </c>
      <c r="AC19" s="31"/>
      <c r="AD19" s="60" t="s">
        <v>20</v>
      </c>
      <c r="AE19" s="65">
        <v>74.099999999999994</v>
      </c>
      <c r="AF19" s="65">
        <v>91.4</v>
      </c>
      <c r="AG19" s="65">
        <v>118.7</v>
      </c>
      <c r="AH19" s="65">
        <v>111.5</v>
      </c>
      <c r="AJ19" s="69" t="s">
        <v>111</v>
      </c>
      <c r="AK19" s="69" t="s">
        <v>70</v>
      </c>
      <c r="AL19" s="38" t="s">
        <v>60</v>
      </c>
      <c r="AM19" s="38"/>
      <c r="AN19" s="38"/>
      <c r="AO19" s="39"/>
      <c r="AP19" s="69" t="s">
        <v>109</v>
      </c>
      <c r="AQ19" s="69" t="s">
        <v>111</v>
      </c>
      <c r="AR19" s="38" t="s">
        <v>60</v>
      </c>
      <c r="AS19" s="8"/>
      <c r="AT19" s="8"/>
    </row>
    <row r="20" spans="1:46" x14ac:dyDescent="0.3">
      <c r="A20" s="59" t="s">
        <v>118</v>
      </c>
      <c r="B20" s="60" t="s">
        <v>36</v>
      </c>
      <c r="C20" s="63">
        <v>1.7</v>
      </c>
      <c r="D20" s="63">
        <v>1.8</v>
      </c>
      <c r="E20" s="63">
        <v>1.9</v>
      </c>
      <c r="F20" s="63">
        <v>1</v>
      </c>
      <c r="G20" s="63">
        <v>64.7</v>
      </c>
      <c r="H20" s="63">
        <v>69.7</v>
      </c>
      <c r="I20" s="63">
        <v>78.900000000000006</v>
      </c>
      <c r="J20" s="63">
        <v>81.7</v>
      </c>
      <c r="R20" s="4" t="s">
        <v>151</v>
      </c>
      <c r="S20" s="41">
        <f>AVERAGE(S4:S19)</f>
        <v>1.8875000000000004</v>
      </c>
      <c r="T20" s="41">
        <f t="shared" ref="T20:V20" si="0">AVERAGE(T4:T19)</f>
        <v>3.8937500000000007</v>
      </c>
      <c r="U20" s="41">
        <f t="shared" si="0"/>
        <v>5.1187499999999995</v>
      </c>
      <c r="V20" s="41">
        <f t="shared" si="0"/>
        <v>4.8125</v>
      </c>
      <c r="AD20" s="4" t="s">
        <v>151</v>
      </c>
      <c r="AE20" s="41">
        <f>AVERAGE(AE4:AE19)</f>
        <v>70.462499999999991</v>
      </c>
      <c r="AF20" s="41">
        <f t="shared" ref="AF20:AH20" si="1">AVERAGE(AF4:AF19)</f>
        <v>79.96875</v>
      </c>
      <c r="AG20" s="41">
        <f t="shared" si="1"/>
        <v>130.26249999999999</v>
      </c>
      <c r="AH20" s="41">
        <f t="shared" si="1"/>
        <v>119.24374999999999</v>
      </c>
      <c r="AJ20" s="69" t="s">
        <v>70</v>
      </c>
      <c r="AK20" s="69" t="s">
        <v>71</v>
      </c>
      <c r="AL20" s="38">
        <v>1.2E-2</v>
      </c>
      <c r="AM20" s="38"/>
      <c r="AN20" s="38"/>
      <c r="AO20" s="39"/>
      <c r="AP20" s="69" t="s">
        <v>109</v>
      </c>
      <c r="AQ20" s="69" t="s">
        <v>113</v>
      </c>
      <c r="AR20" s="38" t="s">
        <v>60</v>
      </c>
      <c r="AS20" s="8"/>
      <c r="AT20" s="8"/>
    </row>
    <row r="21" spans="1:46" x14ac:dyDescent="0.3">
      <c r="A21" s="59" t="s">
        <v>119</v>
      </c>
      <c r="B21" s="60" t="s">
        <v>25</v>
      </c>
      <c r="C21" s="63">
        <v>3.4</v>
      </c>
      <c r="D21" s="63">
        <v>3.1</v>
      </c>
      <c r="E21" s="63">
        <v>3.8</v>
      </c>
      <c r="F21" s="63">
        <v>3.4</v>
      </c>
      <c r="G21" s="63">
        <v>63.5</v>
      </c>
      <c r="H21" s="63">
        <v>75.8</v>
      </c>
      <c r="I21" s="63">
        <v>81.7</v>
      </c>
      <c r="J21" s="63">
        <v>79.7</v>
      </c>
      <c r="R21" s="5" t="s">
        <v>31</v>
      </c>
      <c r="S21" s="42">
        <f>_xlfn.STDEV.S(S4:S19)</f>
        <v>0.62915286960589545</v>
      </c>
      <c r="T21" s="42">
        <f t="shared" ref="T21:V21" si="2">_xlfn.STDEV.S(T4:T19)</f>
        <v>0.80205465316689017</v>
      </c>
      <c r="U21" s="42">
        <f t="shared" si="2"/>
        <v>0.9724325169388397</v>
      </c>
      <c r="V21" s="42">
        <f t="shared" si="2"/>
        <v>0.94154128958851135</v>
      </c>
      <c r="AD21" s="5" t="s">
        <v>31</v>
      </c>
      <c r="AE21" s="42">
        <f>_xlfn.STDEV.S(AE4:AE19)</f>
        <v>7.0500000000000007</v>
      </c>
      <c r="AF21" s="42">
        <f t="shared" ref="AF21:AH21" si="3">_xlfn.STDEV.S(AF4:AF19)</f>
        <v>8.1185974773971914</v>
      </c>
      <c r="AG21" s="42">
        <f t="shared" si="3"/>
        <v>6.5354290856326571</v>
      </c>
      <c r="AH21" s="42">
        <f t="shared" si="3"/>
        <v>7.4263466792225614</v>
      </c>
      <c r="AJ21" s="69" t="s">
        <v>113</v>
      </c>
      <c r="AK21" s="69" t="s">
        <v>71</v>
      </c>
      <c r="AL21" s="38" t="s">
        <v>60</v>
      </c>
      <c r="AM21" s="38"/>
      <c r="AN21" s="38"/>
      <c r="AO21" s="39"/>
      <c r="AP21" s="69" t="s">
        <v>69</v>
      </c>
      <c r="AQ21" s="69" t="s">
        <v>70</v>
      </c>
      <c r="AR21" s="38" t="s">
        <v>60</v>
      </c>
      <c r="AS21" s="8"/>
      <c r="AT21" s="8"/>
    </row>
    <row r="22" spans="1:46" x14ac:dyDescent="0.3">
      <c r="A22" s="59" t="s">
        <v>120</v>
      </c>
      <c r="B22" s="60" t="s">
        <v>16</v>
      </c>
      <c r="C22" s="63">
        <v>2</v>
      </c>
      <c r="D22" s="63">
        <v>2.2000000000000002</v>
      </c>
      <c r="E22" s="63">
        <v>2.4</v>
      </c>
      <c r="F22" s="63">
        <v>2.4</v>
      </c>
      <c r="G22" s="63">
        <v>78.900000000000006</v>
      </c>
      <c r="H22" s="63">
        <v>79.8</v>
      </c>
      <c r="I22" s="63">
        <v>85.7</v>
      </c>
      <c r="J22" s="63">
        <v>79.8</v>
      </c>
      <c r="T22" s="70">
        <f>(T20-S20)/S20</f>
        <v>1.0629139072847682</v>
      </c>
      <c r="U22" s="70">
        <f>(U20-S20)/S20</f>
        <v>1.7119205298013238</v>
      </c>
      <c r="V22" s="70">
        <f>(V20-S20)/S20</f>
        <v>1.5496688741721849</v>
      </c>
      <c r="AP22" s="69" t="s">
        <v>69</v>
      </c>
      <c r="AQ22" s="69" t="s">
        <v>71</v>
      </c>
      <c r="AR22" s="38" t="s">
        <v>60</v>
      </c>
      <c r="AS22" s="8"/>
      <c r="AT22" s="8"/>
    </row>
    <row r="23" spans="1:46" x14ac:dyDescent="0.3">
      <c r="A23" s="59" t="s">
        <v>121</v>
      </c>
      <c r="B23" s="60" t="s">
        <v>26</v>
      </c>
      <c r="C23" s="63">
        <v>1.2</v>
      </c>
      <c r="D23" s="63">
        <v>1.2</v>
      </c>
      <c r="E23" s="63">
        <v>1.8</v>
      </c>
      <c r="F23" s="63">
        <v>2</v>
      </c>
      <c r="G23" s="63">
        <v>77.400000000000006</v>
      </c>
      <c r="H23" s="63">
        <v>81.900000000000006</v>
      </c>
      <c r="I23" s="63">
        <v>85.7</v>
      </c>
      <c r="J23" s="63">
        <v>85.9</v>
      </c>
      <c r="AP23" s="69" t="s">
        <v>111</v>
      </c>
      <c r="AQ23" s="69" t="s">
        <v>70</v>
      </c>
      <c r="AR23" s="38" t="s">
        <v>60</v>
      </c>
      <c r="AS23" s="8"/>
      <c r="AT23" s="8"/>
    </row>
    <row r="24" spans="1:46" x14ac:dyDescent="0.3">
      <c r="A24" s="59" t="s">
        <v>122</v>
      </c>
      <c r="B24" s="60" t="s">
        <v>19</v>
      </c>
      <c r="C24" s="63">
        <v>1.8</v>
      </c>
      <c r="D24" s="63">
        <v>1.8</v>
      </c>
      <c r="E24" s="63">
        <v>1.8</v>
      </c>
      <c r="F24" s="63">
        <v>2</v>
      </c>
      <c r="G24" s="63">
        <v>69.8</v>
      </c>
      <c r="H24" s="63">
        <v>75.8</v>
      </c>
      <c r="I24" s="63">
        <v>81.7</v>
      </c>
      <c r="J24" s="63">
        <v>84.7</v>
      </c>
      <c r="AP24" s="69" t="s">
        <v>70</v>
      </c>
      <c r="AQ24" s="69" t="s">
        <v>71</v>
      </c>
      <c r="AR24" s="38" t="s">
        <v>60</v>
      </c>
      <c r="AS24" s="8"/>
      <c r="AT24" s="8"/>
    </row>
    <row r="25" spans="1:46" x14ac:dyDescent="0.3">
      <c r="A25" s="59" t="s">
        <v>123</v>
      </c>
      <c r="B25" s="60" t="s">
        <v>24</v>
      </c>
      <c r="C25" s="63">
        <v>1.9</v>
      </c>
      <c r="D25" s="63">
        <v>2.4</v>
      </c>
      <c r="E25" s="63">
        <v>2.6</v>
      </c>
      <c r="F25" s="63">
        <v>2.4</v>
      </c>
      <c r="G25" s="63">
        <v>65.400000000000006</v>
      </c>
      <c r="H25" s="63">
        <v>70.900000000000006</v>
      </c>
      <c r="I25" s="63">
        <v>84.7</v>
      </c>
      <c r="J25" s="63">
        <v>89.8</v>
      </c>
      <c r="AP25" s="69" t="s">
        <v>113</v>
      </c>
      <c r="AQ25" s="69" t="s">
        <v>71</v>
      </c>
      <c r="AR25" s="38" t="s">
        <v>60</v>
      </c>
      <c r="AS25" s="8"/>
      <c r="AT25" s="8"/>
    </row>
    <row r="26" spans="1:46" x14ac:dyDescent="0.3">
      <c r="A26" s="59" t="s">
        <v>124</v>
      </c>
      <c r="B26" s="60" t="s">
        <v>21</v>
      </c>
      <c r="C26" s="63">
        <v>3.4</v>
      </c>
      <c r="D26" s="63">
        <v>3.1</v>
      </c>
      <c r="E26" s="63">
        <v>3.1</v>
      </c>
      <c r="F26" s="63">
        <v>3</v>
      </c>
      <c r="G26" s="63">
        <v>77.8</v>
      </c>
      <c r="H26" s="63">
        <v>79.8</v>
      </c>
      <c r="I26" s="63">
        <v>89.9</v>
      </c>
      <c r="J26" s="63">
        <v>96.8</v>
      </c>
    </row>
    <row r="27" spans="1:46" x14ac:dyDescent="0.3">
      <c r="A27" s="59" t="s">
        <v>125</v>
      </c>
      <c r="B27" s="60" t="s">
        <v>6</v>
      </c>
      <c r="C27" s="63">
        <v>1.4</v>
      </c>
      <c r="D27" s="63">
        <v>1.7</v>
      </c>
      <c r="E27" s="63">
        <v>1.8</v>
      </c>
      <c r="F27" s="63">
        <v>2</v>
      </c>
      <c r="G27" s="63">
        <v>63.7</v>
      </c>
      <c r="H27" s="63">
        <v>70.8</v>
      </c>
      <c r="I27" s="63">
        <v>84.7</v>
      </c>
      <c r="J27" s="63">
        <v>111.2</v>
      </c>
    </row>
    <row r="28" spans="1:46" x14ac:dyDescent="0.3">
      <c r="A28" s="59" t="s">
        <v>126</v>
      </c>
      <c r="B28" s="60" t="s">
        <v>29</v>
      </c>
      <c r="C28" s="63">
        <v>1.4</v>
      </c>
      <c r="D28" s="63">
        <v>1.4</v>
      </c>
      <c r="E28" s="63">
        <v>1.7</v>
      </c>
      <c r="F28" s="63">
        <v>2</v>
      </c>
      <c r="G28" s="63">
        <v>65.900000000000006</v>
      </c>
      <c r="H28" s="63">
        <v>66.8</v>
      </c>
      <c r="I28" s="63">
        <v>85.9</v>
      </c>
      <c r="J28" s="63">
        <v>102.8</v>
      </c>
    </row>
    <row r="29" spans="1:46" x14ac:dyDescent="0.3">
      <c r="A29" s="59" t="s">
        <v>127</v>
      </c>
      <c r="B29" s="60" t="s">
        <v>28</v>
      </c>
      <c r="C29" s="63">
        <v>1.1000000000000001</v>
      </c>
      <c r="D29" s="63">
        <v>1.3</v>
      </c>
      <c r="E29" s="63">
        <v>1.6</v>
      </c>
      <c r="F29" s="63">
        <v>1.9</v>
      </c>
      <c r="G29" s="63">
        <v>61.7</v>
      </c>
      <c r="H29" s="63">
        <v>63.8</v>
      </c>
      <c r="I29" s="63">
        <v>79.8</v>
      </c>
      <c r="J29" s="63">
        <v>89.9</v>
      </c>
    </row>
    <row r="30" spans="1:46" x14ac:dyDescent="0.3">
      <c r="A30" s="59" t="s">
        <v>128</v>
      </c>
      <c r="B30" s="60" t="s">
        <v>27</v>
      </c>
      <c r="C30" s="63">
        <v>1.1000000000000001</v>
      </c>
      <c r="D30" s="63">
        <v>1.3</v>
      </c>
      <c r="E30" s="63">
        <v>1.3</v>
      </c>
      <c r="F30" s="63">
        <v>1.5</v>
      </c>
      <c r="G30" s="63">
        <v>63.5</v>
      </c>
      <c r="H30" s="63">
        <v>69.7</v>
      </c>
      <c r="I30" s="63">
        <v>78.900000000000006</v>
      </c>
      <c r="J30" s="63">
        <v>91.4</v>
      </c>
    </row>
    <row r="31" spans="1:46" x14ac:dyDescent="0.3">
      <c r="A31" s="59" t="s">
        <v>129</v>
      </c>
      <c r="B31" s="60" t="s">
        <v>23</v>
      </c>
      <c r="C31" s="63">
        <v>0.9</v>
      </c>
      <c r="D31" s="63">
        <v>1.1000000000000001</v>
      </c>
      <c r="E31" s="63">
        <v>1.7</v>
      </c>
      <c r="F31" s="63">
        <v>2</v>
      </c>
      <c r="G31" s="63">
        <v>62.7</v>
      </c>
      <c r="H31" s="63">
        <v>67.8</v>
      </c>
      <c r="I31" s="63">
        <v>81.2</v>
      </c>
      <c r="J31" s="63">
        <v>94.2</v>
      </c>
    </row>
  </sheetData>
  <mergeCells count="10">
    <mergeCell ref="C1:F1"/>
    <mergeCell ref="G1:J1"/>
    <mergeCell ref="M2:P2"/>
    <mergeCell ref="S2:V2"/>
    <mergeCell ref="L1:V1"/>
    <mergeCell ref="X1:AH1"/>
    <mergeCell ref="Y2:AB2"/>
    <mergeCell ref="AE2:AH2"/>
    <mergeCell ref="AJ1:AN1"/>
    <mergeCell ref="AP1:AT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Characteristics</vt:lpstr>
      <vt:lpstr>Stroop perf.</vt:lpstr>
      <vt:lpstr>Perceived stress</vt:lpstr>
      <vt:lpstr>Pressure</vt:lpstr>
      <vt:lpstr>HRV</vt:lpstr>
      <vt:lpstr>Respiration</vt:lpstr>
      <vt:lpstr>Mydriasis</vt:lpstr>
      <vt:lpstr>Saliva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geoffrey millour</dc:creator>
  <cp:keywords/>
  <dc:description/>
  <cp:lastModifiedBy>geoffrey millour</cp:lastModifiedBy>
  <cp:revision/>
  <dcterms:created xsi:type="dcterms:W3CDTF">2015-06-05T18:17:20Z</dcterms:created>
  <dcterms:modified xsi:type="dcterms:W3CDTF">2026-06-11T10:45:05Z</dcterms:modified>
  <cp:category/>
  <cp:contentStatus/>
</cp:coreProperties>
</file>